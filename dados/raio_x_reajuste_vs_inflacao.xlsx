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Mandatos" sheetId="2" state="visible" r:id="rId4"/>
    <sheet name="Dados_anuais" sheetId="3" state="visible" r:id="rId5"/>
    <sheet name="INPC_mensal" sheetId="4" state="visible" r:id="rId6"/>
    <sheet name="IPCA" sheetId="5" state="visible" r:id="rId7"/>
    <sheet name="Abonos" sheetId="6" state="visible" r:id="rId8"/>
    <sheet name="Validacao_Nota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Premissa editável. 3,18% = JSON do site. 3,53% = INPC ago/22–jul/23 citado pelo DIEESE. Confirmar no ACT 2023/2024.</t>
        </r>
      </text>
    </comment>
    <comment ref="B4" authorId="0">
      <text>
        <r>
          <rPr>
            <sz val="10"/>
            <rFont val="Arial"/>
            <family val="2"/>
          </rPr>
          <t xml:space="preserve">Premissa: resultados dentro de ±0,5 ponto percentual são classificados como "Neutro".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2" authorId="0">
      <text>
        <r>
          <rPr>
            <sz val="10"/>
            <rFont val="Arial"/>
            <family val="2"/>
          </rPr>
          <t xml:space="preserve">Base do índice (premissa): jun/1994 = 100. Os índices abaixo são acumulados a partir dela.</t>
        </r>
      </text>
    </comment>
  </commentList>
</comments>
</file>

<file path=xl/sharedStrings.xml><?xml version="1.0" encoding="utf-8"?>
<sst xmlns="http://schemas.openxmlformats.org/spreadsheetml/2006/main" count="276" uniqueCount="153">
  <si>
    <t xml:space="preserve">Raio-X da Luta — Reajuste × inflação por mandato (1995–2026)</t>
  </si>
  <si>
    <t xml:space="preserve">Atualizado em 14/10/2026. Base 1995. Reajuste do salário-base × INPC, em duas comparações (calendário e janela ago–jul).</t>
  </si>
  <si>
    <t xml:space="preserve">Mandato</t>
  </si>
  <si>
    <t xml:space="preserve">Período</t>
  </si>
  <si>
    <t xml:space="preserve">Real — calendário</t>
  </si>
  <si>
    <t xml:space="preserve">Real — janela ago–jul</t>
  </si>
  <si>
    <t xml:space="preserve">Leitura (janela)</t>
  </si>
  <si>
    <t xml:space="preserve">O que mudou</t>
  </si>
  <si>
    <t xml:space="preserve">Na comparação ago–jul (a que os ACTs usam), só Dilma 1 tem ganho real. Lula 3 fica em torno de zero (até set/2026); Lula 1 e FHC 1 têm as maiores perdas.</t>
  </si>
  <si>
    <t xml:space="preserve">Por que importa</t>
  </si>
  <si>
    <t xml:space="preserve">Comparar o reajuste com o INPC do ano-calendário melhora artificialmente alguns mandatos (ex.: Lula 1 passa de −11,2% para −4,2%).</t>
  </si>
  <si>
    <t xml:space="preserve">IPCA</t>
  </si>
  <si>
    <t xml:space="preserve">Corrigir 2025 (5,10% → 4,26%) e 2026 (4,09% → 3,95% parcial). Aba IPCA: poder de compra de 2025 sobe de 61,36 para 61,86.</t>
  </si>
  <si>
    <t xml:space="preserve">Limitações</t>
  </si>
  <si>
    <t xml:space="preserve">Salário-base apenas (sem abonos); datas-base antigas não verificadas; fonte mensal secundária. Ver aba Validacao_Notas.</t>
  </si>
  <si>
    <t xml:space="preserve">Textos acima</t>
  </si>
  <si>
    <t xml:space="preserve">Valem para o reajuste de 2023 = 3,18% (Mandatos!B3). Com 3,53% o resultado do Lula 3 muda.</t>
  </si>
  <si>
    <t xml:space="preserve">Abas: Mandatos (cálculo) · Dados_anuais · INPC_mensal · IPCA · Validacao_Notas.</t>
  </si>
  <si>
    <t xml:space="preserve">Ganho/perda real por mandato (composto)</t>
  </si>
  <si>
    <t xml:space="preserve">Real = (1 + reajuste composto) / (1 + INPC composto) − 1. Duas bases de comparação: ano-calendário e janela ago–jul.</t>
  </si>
  <si>
    <t xml:space="preserve">Reajuste de 2023 usado</t>
  </si>
  <si>
    <t xml:space="preserve">← altere para 3,53% para ver o efeito no Lula 3</t>
  </si>
  <si>
    <t xml:space="preserve">Limite de neutralidade (±)</t>
  </si>
  <si>
    <t xml:space="preserve">Anos</t>
  </si>
  <si>
    <t xml:space="preserve">INPC calendário (composto)</t>
  </si>
  <si>
    <t xml:space="preserve">Reajuste (composto)</t>
  </si>
  <si>
    <t xml:space="preserve">INPC janela ago–jul (composto)</t>
  </si>
  <si>
    <t xml:space="preserve">Observação</t>
  </si>
  <si>
    <t xml:space="preserve">FHC 1</t>
  </si>
  <si>
    <t xml:space="preserve">1995–1998</t>
  </si>
  <si>
    <t xml:space="preserve">Sem abonos na conta (ex.: 60% do salário-base em 1998).</t>
  </si>
  <si>
    <t xml:space="preserve">FHC 2</t>
  </si>
  <si>
    <t xml:space="preserve">1999–2002</t>
  </si>
  <si>
    <t xml:space="preserve">Abonos de 1999–2002 (50%, 70%, R$ 1.000) fora da conta.</t>
  </si>
  <si>
    <t xml:space="preserve">Lula 1</t>
  </si>
  <si>
    <t xml:space="preserve">2003–2006</t>
  </si>
  <si>
    <t xml:space="preserve">Lula 2</t>
  </si>
  <si>
    <t xml:space="preserve">2007–2010</t>
  </si>
  <si>
    <t xml:space="preserve">Dilma 1</t>
  </si>
  <si>
    <t xml:space="preserve">2011–2014</t>
  </si>
  <si>
    <t xml:space="preserve">Único mandato com ganho real nas duas bases.</t>
  </si>
  <si>
    <t xml:space="preserve">Dilma 2/Temer</t>
  </si>
  <si>
    <t xml:space="preserve">2015–2018</t>
  </si>
  <si>
    <t xml:space="preserve">Mistura dois governos (2015–2016 Dilma; 2016–2018 Temer). O site atual separa Temer.</t>
  </si>
  <si>
    <t xml:space="preserve">Bolsonaro</t>
  </si>
  <si>
    <t xml:space="preserve">2019–2022</t>
  </si>
  <si>
    <t xml:space="preserve">Números, sem interpretação sobre causas (ex.: pandemia).</t>
  </si>
  <si>
    <t xml:space="preserve">Lula 3</t>
  </si>
  <si>
    <t xml:space="preserve">2023–2026</t>
  </si>
  <si>
    <t xml:space="preserve">PARCIAL: até set/2026. Resultado sensível ao reajuste de 2023 (B3) e ao método.</t>
  </si>
  <si>
    <t xml:space="preserve">Contagem de mandatos com ganho real (janela)</t>
  </si>
  <si>
    <t xml:space="preserve">Contagem de mandatos com ganho real (calendário)</t>
  </si>
  <si>
    <t xml:space="preserve">Ano</t>
  </si>
  <si>
    <t xml:space="preserve">Governo</t>
  </si>
  <si>
    <t xml:space="preserve">Tipo (ACT/DC)</t>
  </si>
  <si>
    <t xml:space="preserve">Reajuste do salário-base</t>
  </si>
  <si>
    <t xml:space="preserve">INPC ano-calendário</t>
  </si>
  <si>
    <t xml:space="preserve">INPC janela ago–jul (ago do ano anterior a jul)</t>
  </si>
  <si>
    <t xml:space="preserve">Fator reajuste</t>
  </si>
  <si>
    <t xml:space="preserve">Fator INPC calendário</t>
  </si>
  <si>
    <t xml:space="preserve">Fator INPC janela</t>
  </si>
  <si>
    <t xml:space="preserve">FHC</t>
  </si>
  <si>
    <t xml:space="preserve">ACT</t>
  </si>
  <si>
    <t xml:space="preserve">Data-base em dezembro (3,27% linear); janela ago–jul pouco representativa</t>
  </si>
  <si>
    <t xml:space="preserve">DC</t>
  </si>
  <si>
    <t xml:space="preserve">9,56% pós-Plano Real (Dissídio Coletivo TST)</t>
  </si>
  <si>
    <t xml:space="preserve">5% linear + abono fixo de R$ 200</t>
  </si>
  <si>
    <t xml:space="preserve">2% linear + abono de 60% do salário-base</t>
  </si>
  <si>
    <t xml:space="preserve">2% linear + abono de 50% do salário-base</t>
  </si>
  <si>
    <t xml:space="preserve">3% linear + abono de 50% em Dissídio Coletivo</t>
  </si>
  <si>
    <t xml:space="preserve">6% linear + abono de 70% do salário-base</t>
  </si>
  <si>
    <t xml:space="preserve">4% linear + 1 referência salarial + abono R$ 1.000</t>
  </si>
  <si>
    <t xml:space="preserve">Lula</t>
  </si>
  <si>
    <t xml:space="preserve">6% linear + progressões na carreira (2 referências)</t>
  </si>
  <si>
    <t xml:space="preserve">6,81% linear + 2 referências + abono R$ 400</t>
  </si>
  <si>
    <t xml:space="preserve">7,07% linear + 5% condicionado em fev/2006</t>
  </si>
  <si>
    <t xml:space="preserve">Sem reajuste linear nominal (incorporação de benefícios)</t>
  </si>
  <si>
    <t xml:space="preserve">3,74% linear + R$ 60 fixo em janeiro de 2008</t>
  </si>
  <si>
    <t xml:space="preserve">7,37% linear geral</t>
  </si>
  <si>
    <t xml:space="preserve">9% linear + R$ 100 fixo em jan/2010 + cláusula IPCA</t>
  </si>
  <si>
    <t xml:space="preserve">Aumento linear de R$ 100 fixado no acordo anterior</t>
  </si>
  <si>
    <t xml:space="preserve">Dilma</t>
  </si>
  <si>
    <t xml:space="preserve">6,87% linear + R$ 60 fixo em jan/2012 (Dissídio)</t>
  </si>
  <si>
    <t xml:space="preserve">6,5% linear + reajustes em benefícios (Dissídio)</t>
  </si>
  <si>
    <t xml:space="preserve">8% linear + 6,27% em benefícios pós-greve</t>
  </si>
  <si>
    <t xml:space="preserve">6,5% na referência salarial (GIP) + incorporações</t>
  </si>
  <si>
    <t xml:space="preserve">Sem reajuste linear na tabela salarial básica</t>
  </si>
  <si>
    <t xml:space="preserve">Temer</t>
  </si>
  <si>
    <t xml:space="preserve">9% parcelado (6% em ago/2016 + 3% em fev/2017)</t>
  </si>
  <si>
    <t xml:space="preserve">2,07% linear com pagamento retroativo</t>
  </si>
  <si>
    <t xml:space="preserve">3,61% linear baseado integralmente no INPC</t>
  </si>
  <si>
    <t xml:space="preserve">3% linear determinado por julgamento do TST</t>
  </si>
  <si>
    <t xml:space="preserve">2,6% linear fixado pelo TST (DC 1001203-57.2020)</t>
  </si>
  <si>
    <t xml:space="preserve">9,75% linear concedido via Dissídio Coletivo pelo TST</t>
  </si>
  <si>
    <t xml:space="preserve">10,12% linear (reposição integral do INPC) + reconquista de benefícios</t>
  </si>
  <si>
    <t xml:space="preserve">Reajuste vem do parâmetro Mandatos!B3 (3,18% no JSON do site; 3,53% no DIEESE)</t>
  </si>
  <si>
    <t xml:space="preserve">4,35% linear (INPC 4,77% — 91% do índice) em salários e benefícios</t>
  </si>
  <si>
    <t xml:space="preserve">Reajuste 5,10% (TST, dez/2025); no JSON do site o IPCA/INPC de 2025 estava copiado do reajuste</t>
  </si>
  <si>
    <t xml:space="preserve">PARCIAL: INPC calendário só até set/2026; reajuste de 4,09% (TST) retroativo a ago/2026</t>
  </si>
  <si>
    <t xml:space="preserve">Reajuste = só salário-base (campo reajuste_pct do JSON do site). Abonos e valores fixos (ex.: 1997–2002) NÃO entram. Real = (1+reajuste)/(1+INPC)−1.</t>
  </si>
  <si>
    <t xml:space="preserve">Premissa da coluna "janela": data-base em agosto em todos os anos. Verificada só para 2021–2026; 1995 era dezembro. Tratar como exploratória até conferir os ACT/DC.</t>
  </si>
  <si>
    <t xml:space="preserve">Mês</t>
  </si>
  <si>
    <t xml:space="preserve">INPC no mês (%)</t>
  </si>
  <si>
    <t xml:space="preserve">Índice INPC (jun/1994 = 100)</t>
  </si>
  <si>
    <t xml:space="preserve">Fonte: série mensal do INPC (IBGE) transcrita de numerando.com.br (fonte secundária), jul/1994 a set/2026. Conferida contra 3 pontos independentes (aba Validacao_Notas). Confirmar no SIDRA/BCB (SGS 188) antes de publicar.</t>
  </si>
  <si>
    <t xml:space="preserve">IPCA oficial (IBGE)</t>
  </si>
  <si>
    <t xml:space="preserve">IPCA no JSON do site</t>
  </si>
  <si>
    <t xml:space="preserve">Diferença (p.p.)</t>
  </si>
  <si>
    <t xml:space="preserve">IPCA acumulado oficial (jan/95 = 100 → fim do ano)</t>
  </si>
  <si>
    <t xml:space="preserve">Acumulado no site</t>
  </si>
  <si>
    <t xml:space="preserve">Diferença (pontos)</t>
  </si>
  <si>
    <t xml:space="preserve">Reajuste (salário-base)</t>
  </si>
  <si>
    <t xml:space="preserve">Índice nominal do salário</t>
  </si>
  <si>
    <t xml:space="preserve">Poder de compra recalculado (IPCA oficial)</t>
  </si>
  <si>
    <t xml:space="preserve">Poder de compra no site</t>
  </si>
  <si>
    <t xml:space="preserve">Diferença</t>
  </si>
  <si>
    <t xml:space="preserve">IPCA 2026 = parcial (jan–set). Fonte do IPCA anual: IBGE (tabela anual 1995–2025; 2025 = 4,26%). Fontes dos valores "no site": data/financeiro.json do repositório (commit 7a6872a).</t>
  </si>
  <si>
    <t xml:space="preserve">Diferenças esperadas só em 2025 e 2026 (IPCA copiado do reajuste no JSON). Esta aba usa o método do site (reajuste × IPCA do ano-calendário); o método recomendado é o INPC por janela (aba Mandatos).</t>
  </si>
  <si>
    <t xml:space="preserve">Abonos e valores fixos citados nas observações do site (fora do reajuste do salário-base)</t>
  </si>
  <si>
    <t xml:space="preserve">Texto copiado de data/financeiro.json. Valores em R$ e incorporação ao salário NÃO foram verificados nos ACT/DC; preencher as colunas amarelas.</t>
  </si>
  <si>
    <t xml:space="preserve">Reajuste linear (%)</t>
  </si>
  <si>
    <t xml:space="preserve">Descrição no site</t>
  </si>
  <si>
    <t xml:space="preserve">Incorporado ao salário-base?</t>
  </si>
  <si>
    <t xml:space="preserve">Valor do abono (R$) — preencher</t>
  </si>
  <si>
    <t xml:space="preserve">Salário-base na época (R$) — preencher</t>
  </si>
  <si>
    <t xml:space="preserve">Abono em % do salário (fórmula)</t>
  </si>
  <si>
    <t xml:space="preserve">A confirmar no ACT/DC</t>
  </si>
  <si>
    <t xml:space="preserve">Leitura: abono pago uma vez não entra na base de cálculo dos reajustes seguintes (o salário-base seguinte parte do valor sem ele). Isso é verificável com os valores acima; a intenção da política não é inferida pelos dados.</t>
  </si>
  <si>
    <t xml:space="preserve">Validação da série e notas</t>
  </si>
  <si>
    <t xml:space="preserve">Teste</t>
  </si>
  <si>
    <t xml:space="preserve">Valor calculado</t>
  </si>
  <si>
    <t xml:space="preserve">Valor de referência</t>
  </si>
  <si>
    <t xml:space="preserve">Resultado</t>
  </si>
  <si>
    <t xml:space="preserve">Fonte da referência</t>
  </si>
  <si>
    <t xml:space="preserve">INPC janela ago/21–jul/22 (reajuste 2022)</t>
  </si>
  <si>
    <t xml:space="preserve">CUT, 01/09/2022: reajuste de 100% do INPC (10,12%)</t>
  </si>
  <si>
    <t xml:space="preserve">INPC janela ago/22–jul/23 (reajuste 2023)</t>
  </si>
  <si>
    <t xml:space="preserve">DIEESE, análise do ACT 2023: INPC de 3,53%</t>
  </si>
  <si>
    <t xml:space="preserve">INPC janela ago/25–jul/26 (reajuste 2026)</t>
  </si>
  <si>
    <t xml:space="preserve">FINDECT, 18/08/2026: INPC acumulado de 4,10%</t>
  </si>
  <si>
    <t xml:space="preserve">INPC calendário 2025</t>
  </si>
  <si>
    <t xml:space="preserve">IBGE (agência de notícias): INPC 2025 = 3,90%</t>
  </si>
  <si>
    <t xml:space="preserve">INPC calendário 1995–2025: máx. |recalculado − tabela publicada| (p.p.)</t>
  </si>
  <si>
    <t xml:space="preserve">Tabela anual publicada em numerando.com.br (valores arredondados a 2 casas)</t>
  </si>
  <si>
    <t xml:space="preserve">LEGENDA DE CORES: azul = dado de entrada/premissa; preto = fórmula; verde = ligação com outra aba; fundo amarelo = célula que você pode editar (Mandatos!B3 e B4).</t>
  </si>
  <si>
    <t xml:space="preserve">CUIDADO 1 — Abonos: o reajuste usado é só do salário-base. Em 1997–2002 houve abonos (60%, 50%, 70%, R$ 1.000). O resultado de FHC 1 e FHC 2 não os inclui.</t>
  </si>
  <si>
    <t xml:space="preserve">CUIDADO 2 — 2026 é parcial: reajuste de ago/2026 comparado ao INPC de jan–set (calendário) ou ago/25–jul/26 (janela).</t>
  </si>
  <si>
    <t xml:space="preserve">CUIDADO 3 — Janela ago–jul assume data-base em agosto em todos os anos; confirmada só para 2021–2026. 1995 teve data-base em dezembro.</t>
  </si>
  <si>
    <t xml:space="preserve">CUIDADO 4 — "Dilma 2/Temer" agrupa dois governos; separar exigiria cortar o ano de 2016.</t>
  </si>
  <si>
    <t xml:space="preserve">CUIDADO 5 — Reajuste de 2023: 3,18% (JSON do site) ou 3,53% (DIEESE). Define se o Lula 3 fica ligeiramente acima ou abaixo de zero.</t>
  </si>
  <si>
    <t xml:space="preserve">CUIDADO 6 — Fonte da série mensal: site secundário (numerando.com.br). Confirmar no IBGE/SIDRA ou BCB SGS 188 antes de publicar.</t>
  </si>
  <si>
    <t xml:space="preserve">LEITURA: os números descrevem diferença entre reajuste e inflação. Interpretações causais (crise, pandemia, política) não derivam desta planilha.</t>
  </si>
  <si>
    <t xml:space="preserve">PRÓXIMOS PASSOS: (1) confirmar datas-base e reajuste de 2023 nos ACT/DC; (2) gerar data/inflacao.json a partir desta base; (3) substituir o gráfico "Ganhos e Perdas por Governo" pela tabela de mandatos.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</si>
</sst>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+0.00%;\-0.00%;0.00%"/>
    <numFmt numFmtId="166" formatCode="0.00%"/>
    <numFmt numFmtId="167" formatCode="0"/>
    <numFmt numFmtId="168" formatCode="0.0000"/>
    <numFmt numFmtId="169" formatCode="\+0.00;\-0.00;0.00"/>
    <numFmt numFmtId="170" formatCode="0.00"/>
    <numFmt numFmtId="171" formatCode="#,##0.00"/>
    <numFmt numFmtId="172" formatCode="0.0%"/>
    <numFmt numFmtId="173" formatCode="0.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8B000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8102E"/>
        <bgColor rgb="FF8B00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2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tr">
        <f aca="false">Mandatos!A7</f>
        <v>FHC 1</v>
      </c>
      <c r="B5" s="4" t="str">
        <f aca="false">Mandatos!B7</f>
        <v>1995–1998</v>
      </c>
      <c r="C5" s="5" t="n">
        <f aca="false">Mandatos!F7</f>
        <v>-0.148650285992955</v>
      </c>
      <c r="D5" s="5" t="n">
        <f aca="false">Mandatos!H7</f>
        <v>-0.237788519322129</v>
      </c>
      <c r="E5" s="4" t="str">
        <f aca="false">Mandatos!I7</f>
        <v>Perda real</v>
      </c>
    </row>
    <row r="6" customFormat="false" ht="15" hidden="false" customHeight="false" outlineLevel="0" collapsed="false">
      <c r="A6" s="4" t="str">
        <f aca="false">Mandatos!A8</f>
        <v>FHC 2</v>
      </c>
      <c r="B6" s="4" t="str">
        <f aca="false">Mandatos!B8</f>
        <v>1999–2002</v>
      </c>
      <c r="C6" s="5" t="n">
        <f aca="false">Mandatos!F8</f>
        <v>-0.191992845116937</v>
      </c>
      <c r="D6" s="5" t="n">
        <f aca="false">Mandatos!H8</f>
        <v>-0.109764717336064</v>
      </c>
      <c r="E6" s="4" t="str">
        <f aca="false">Mandatos!I8</f>
        <v>Perda real</v>
      </c>
    </row>
    <row r="7" customFormat="false" ht="15" hidden="false" customHeight="false" outlineLevel="0" collapsed="false">
      <c r="A7" s="4" t="str">
        <f aca="false">Mandatos!A9</f>
        <v>Lula 1</v>
      </c>
      <c r="B7" s="4" t="str">
        <f aca="false">Mandatos!B9</f>
        <v>2003–2006</v>
      </c>
      <c r="C7" s="5" t="n">
        <f aca="false">Mandatos!F9</f>
        <v>-0.0419379400252504</v>
      </c>
      <c r="D7" s="5" t="n">
        <f aca="false">Mandatos!H9</f>
        <v>-0.112341490626051</v>
      </c>
      <c r="E7" s="4" t="str">
        <f aca="false">Mandatos!I9</f>
        <v>Perda real</v>
      </c>
    </row>
    <row r="8" customFormat="false" ht="15" hidden="false" customHeight="false" outlineLevel="0" collapsed="false">
      <c r="A8" s="4" t="str">
        <f aca="false">Mandatos!A10</f>
        <v>Lula 2</v>
      </c>
      <c r="B8" s="4" t="str">
        <f aca="false">Mandatos!B10</f>
        <v>2007–2010</v>
      </c>
      <c r="C8" s="5" t="n">
        <f aca="false">Mandatos!F10</f>
        <v>-0.0217880436041513</v>
      </c>
      <c r="D8" s="5" t="n">
        <f aca="false">Mandatos!H10</f>
        <v>-0.00798584385680023</v>
      </c>
      <c r="E8" s="4" t="str">
        <f aca="false">Mandatos!I10</f>
        <v>Perda real</v>
      </c>
    </row>
    <row r="9" customFormat="false" ht="15" hidden="false" customHeight="false" outlineLevel="0" collapsed="false">
      <c r="A9" s="4" t="str">
        <f aca="false">Mandatos!A11</f>
        <v>Dilma 1</v>
      </c>
      <c r="B9" s="4" t="str">
        <f aca="false">Mandatos!B11</f>
        <v>2011–2014</v>
      </c>
      <c r="C9" s="5" t="n">
        <f aca="false">Mandatos!F11</f>
        <v>0.0362864009879855</v>
      </c>
      <c r="D9" s="5" t="n">
        <f aca="false">Mandatos!H11</f>
        <v>0.0278991705951022</v>
      </c>
      <c r="E9" s="4" t="str">
        <f aca="false">Mandatos!I11</f>
        <v>Ganho real</v>
      </c>
    </row>
    <row r="10" customFormat="false" ht="15" hidden="false" customHeight="false" outlineLevel="0" collapsed="false">
      <c r="A10" s="4" t="str">
        <f aca="false">Mandatos!A12</f>
        <v>Dilma 2/Temer</v>
      </c>
      <c r="B10" s="4" t="str">
        <f aca="false">Mandatos!B12</f>
        <v>2015–2018</v>
      </c>
      <c r="C10" s="5" t="n">
        <f aca="false">Mandatos!F12</f>
        <v>-0.0793376532856032</v>
      </c>
      <c r="D10" s="5" t="n">
        <f aca="false">Mandatos!H12</f>
        <v>-0.0940078004137395</v>
      </c>
      <c r="E10" s="4" t="str">
        <f aca="false">Mandatos!I12</f>
        <v>Perda real</v>
      </c>
    </row>
    <row r="11" customFormat="false" ht="15" hidden="false" customHeight="false" outlineLevel="0" collapsed="false">
      <c r="A11" s="4" t="str">
        <f aca="false">Mandatos!A13</f>
        <v>Bolsonaro</v>
      </c>
      <c r="B11" s="4" t="str">
        <f aca="false">Mandatos!B13</f>
        <v>2019–2022</v>
      </c>
      <c r="C11" s="5" t="n">
        <f aca="false">Mandatos!F13</f>
        <v>-0.00659413146423293</v>
      </c>
      <c r="D11" s="5" t="n">
        <f aca="false">Mandatos!H13</f>
        <v>-0.00344529528691118</v>
      </c>
      <c r="E11" s="4" t="str">
        <f aca="false">Mandatos!I13</f>
        <v>Neutro</v>
      </c>
    </row>
    <row r="12" customFormat="false" ht="15" hidden="false" customHeight="false" outlineLevel="0" collapsed="false">
      <c r="A12" s="4" t="str">
        <f aca="false">Mandatos!A14</f>
        <v>Lula 3</v>
      </c>
      <c r="B12" s="4" t="str">
        <f aca="false">Mandatos!B14</f>
        <v>2023–2026</v>
      </c>
      <c r="C12" s="5" t="n">
        <f aca="false">Mandatos!F14</f>
        <v>0.00316058296350796</v>
      </c>
      <c r="D12" s="5" t="n">
        <f aca="false">Mandatos!H14</f>
        <v>-0.000930681870841221</v>
      </c>
      <c r="E12" s="4" t="str">
        <f aca="false">Mandatos!I14</f>
        <v>Neutro</v>
      </c>
    </row>
    <row r="15" customFormat="false" ht="43.5" hidden="false" customHeight="true" outlineLevel="0" collapsed="false">
      <c r="A15" s="6" t="s">
        <v>7</v>
      </c>
      <c r="B15" s="7" t="s">
        <v>8</v>
      </c>
      <c r="C15" s="7"/>
      <c r="D15" s="7"/>
      <c r="E15" s="7"/>
    </row>
    <row r="16" customFormat="false" ht="43.5" hidden="false" customHeight="true" outlineLevel="0" collapsed="false">
      <c r="A16" s="6" t="s">
        <v>9</v>
      </c>
      <c r="B16" s="7" t="s">
        <v>10</v>
      </c>
      <c r="C16" s="7"/>
      <c r="D16" s="7"/>
      <c r="E16" s="7"/>
    </row>
    <row r="17" customFormat="false" ht="43.5" hidden="false" customHeight="true" outlineLevel="0" collapsed="false">
      <c r="A17" s="6" t="s">
        <v>11</v>
      </c>
      <c r="B17" s="7" t="s">
        <v>12</v>
      </c>
      <c r="C17" s="7"/>
      <c r="D17" s="7"/>
      <c r="E17" s="7"/>
    </row>
    <row r="18" customFormat="false" ht="43.5" hidden="false" customHeight="true" outlineLevel="0" collapsed="false">
      <c r="A18" s="6" t="s">
        <v>13</v>
      </c>
      <c r="B18" s="7" t="s">
        <v>14</v>
      </c>
      <c r="C18" s="7"/>
      <c r="D18" s="7"/>
      <c r="E18" s="7"/>
    </row>
    <row r="19" customFormat="false" ht="43.5" hidden="false" customHeight="true" outlineLevel="0" collapsed="false">
      <c r="A19" s="6" t="s">
        <v>15</v>
      </c>
      <c r="B19" s="7" t="s">
        <v>16</v>
      </c>
      <c r="C19" s="7"/>
      <c r="D19" s="7"/>
      <c r="E19" s="7"/>
    </row>
    <row r="21" customFormat="false" ht="15" hidden="false" customHeight="false" outlineLevel="0" collapsed="false">
      <c r="A21" s="8" t="s">
        <v>17</v>
      </c>
    </row>
  </sheetData>
  <mergeCells count="5">
    <mergeCell ref="B15:E15"/>
    <mergeCell ref="B16:E16"/>
    <mergeCell ref="B17:E17"/>
    <mergeCell ref="B18:E18"/>
    <mergeCell ref="B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7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1" t="s">
        <v>18</v>
      </c>
    </row>
    <row r="2" customFormat="false" ht="15" hidden="false" customHeight="false" outlineLevel="0" collapsed="false">
      <c r="A2" s="2" t="s">
        <v>19</v>
      </c>
    </row>
    <row r="3" customFormat="false" ht="15" hidden="false" customHeight="false" outlineLevel="0" collapsed="false">
      <c r="A3" s="9" t="s">
        <v>20</v>
      </c>
      <c r="B3" s="10" t="n">
        <v>0.0318</v>
      </c>
      <c r="C3" s="8" t="s">
        <v>21</v>
      </c>
    </row>
    <row r="4" customFormat="false" ht="15" hidden="false" customHeight="false" outlineLevel="0" collapsed="false">
      <c r="A4" s="9" t="s">
        <v>22</v>
      </c>
      <c r="B4" s="10" t="n">
        <v>0.005</v>
      </c>
    </row>
    <row r="6" customFormat="false" ht="42" hidden="false" customHeight="true" outlineLevel="0" collapsed="false">
      <c r="A6" s="3" t="s">
        <v>2</v>
      </c>
      <c r="B6" s="3" t="s">
        <v>3</v>
      </c>
      <c r="C6" s="3" t="s">
        <v>23</v>
      </c>
      <c r="D6" s="3" t="s">
        <v>24</v>
      </c>
      <c r="E6" s="3" t="s">
        <v>25</v>
      </c>
      <c r="F6" s="3" t="s">
        <v>4</v>
      </c>
      <c r="G6" s="3" t="s">
        <v>26</v>
      </c>
      <c r="H6" s="3" t="s">
        <v>5</v>
      </c>
      <c r="I6" s="3" t="s">
        <v>6</v>
      </c>
      <c r="J6" s="3" t="s">
        <v>27</v>
      </c>
    </row>
    <row r="7" customFormat="false" ht="15" hidden="false" customHeight="false" outlineLevel="0" collapsed="false">
      <c r="A7" s="9" t="s">
        <v>28</v>
      </c>
      <c r="B7" s="11" t="s">
        <v>29</v>
      </c>
      <c r="C7" s="12" t="n">
        <f aca="false">COUNT(Dados_anuais!A2:A5)</f>
        <v>4</v>
      </c>
      <c r="D7" s="13" t="n">
        <f aca="false">PRODUCT(Dados_anuais!K2:K5)-1</f>
        <v>0.423336796363771</v>
      </c>
      <c r="E7" s="13" t="n">
        <f aca="false">PRODUCT(Dados_anuais!J2:J5)-1</f>
        <v>0.21175737452</v>
      </c>
      <c r="F7" s="14" t="n">
        <f aca="false">(1+E7)/(1+D7)-1</f>
        <v>-0.148650285992955</v>
      </c>
      <c r="G7" s="13" t="n">
        <f aca="false">PRODUCT(Dados_anuais!L2:L5)-1</f>
        <v>0.589791554231546</v>
      </c>
      <c r="H7" s="14" t="n">
        <f aca="false">(1+E7)/(1+G7)-1</f>
        <v>-0.237788519322129</v>
      </c>
      <c r="I7" s="11" t="str">
        <f aca="false">IF(H7&gt;$B$4,"Ganho real",IF(H7&lt;-$B$4,"Perda real","Neutro"))</f>
        <v>Perda real</v>
      </c>
      <c r="J7" s="7" t="s">
        <v>30</v>
      </c>
    </row>
    <row r="8" customFormat="false" ht="15" hidden="false" customHeight="false" outlineLevel="0" collapsed="false">
      <c r="A8" s="9" t="s">
        <v>31</v>
      </c>
      <c r="B8" s="11" t="s">
        <v>32</v>
      </c>
      <c r="C8" s="12" t="n">
        <f aca="false">COUNT(Dados_anuais!A6:A9)</f>
        <v>4</v>
      </c>
      <c r="D8" s="13" t="n">
        <f aca="false">PRODUCT(Dados_anuais!K6:K9)-1</f>
        <v>0.433380178629254</v>
      </c>
      <c r="E8" s="13" t="n">
        <f aca="false">PRODUCT(Dados_anuais!J6:J9)-1</f>
        <v>0.15818144</v>
      </c>
      <c r="F8" s="14" t="n">
        <f aca="false">(1+E8)/(1+D8)-1</f>
        <v>-0.191992845116937</v>
      </c>
      <c r="G8" s="13" t="n">
        <f aca="false">PRODUCT(Dados_anuais!L6:L9)-1</f>
        <v>0.300983529358961</v>
      </c>
      <c r="H8" s="14" t="n">
        <f aca="false">(1+E8)/(1+G8)-1</f>
        <v>-0.109764717336064</v>
      </c>
      <c r="I8" s="11" t="str">
        <f aca="false">IF(H8&gt;$B$4,"Ganho real",IF(H8&lt;-$B$4,"Perda real","Neutro"))</f>
        <v>Perda real</v>
      </c>
      <c r="J8" s="7" t="s">
        <v>33</v>
      </c>
    </row>
    <row r="9" customFormat="false" ht="15" hidden="false" customHeight="false" outlineLevel="0" collapsed="false">
      <c r="A9" s="9" t="s">
        <v>34</v>
      </c>
      <c r="B9" s="11" t="s">
        <v>35</v>
      </c>
      <c r="C9" s="12" t="n">
        <f aca="false">COUNT(Dados_anuais!A10:A13)</f>
        <v>4</v>
      </c>
      <c r="D9" s="13" t="n">
        <f aca="false">PRODUCT(Dados_anuais!K10:K13)-1</f>
        <v>0.265295434235178</v>
      </c>
      <c r="E9" s="13" t="n">
        <f aca="false">PRODUCT(Dados_anuais!J10:J13)-1</f>
        <v>0.2122315502</v>
      </c>
      <c r="F9" s="14" t="n">
        <f aca="false">(1+E9)/(1+D9)-1</f>
        <v>-0.0419379400252504</v>
      </c>
      <c r="G9" s="13" t="n">
        <f aca="false">PRODUCT(Dados_anuais!L10:L13)-1</f>
        <v>0.365650796334919</v>
      </c>
      <c r="H9" s="14" t="n">
        <f aca="false">(1+E9)/(1+G9)-1</f>
        <v>-0.112341490626051</v>
      </c>
      <c r="I9" s="11" t="str">
        <f aca="false">IF(H9&gt;$B$4,"Ganho real",IF(H9&lt;-$B$4,"Perda real","Neutro"))</f>
        <v>Perda real</v>
      </c>
      <c r="J9" s="7"/>
    </row>
    <row r="10" customFormat="false" ht="15" hidden="false" customHeight="false" outlineLevel="0" collapsed="false">
      <c r="A10" s="9" t="s">
        <v>36</v>
      </c>
      <c r="B10" s="11" t="s">
        <v>37</v>
      </c>
      <c r="C10" s="12" t="n">
        <f aca="false">COUNT(Dados_anuais!A14:A17)</f>
        <v>4</v>
      </c>
      <c r="D10" s="13" t="n">
        <f aca="false">PRODUCT(Dados_anuais!K14:K17)-1</f>
        <v>0.241145588399141</v>
      </c>
      <c r="E10" s="13" t="n">
        <f aca="false">PRODUCT(Dados_anuais!J14:J17)-1</f>
        <v>0.2141034542</v>
      </c>
      <c r="F10" s="14" t="n">
        <f aca="false">(1+E10)/(1+D10)-1</f>
        <v>-0.0217880436041513</v>
      </c>
      <c r="G10" s="13" t="n">
        <f aca="false">PRODUCT(Dados_anuais!L14:L17)-1</f>
        <v>0.223877145987765</v>
      </c>
      <c r="H10" s="14" t="n">
        <f aca="false">(1+E10)/(1+G10)-1</f>
        <v>-0.00798584385680023</v>
      </c>
      <c r="I10" s="11" t="str">
        <f aca="false">IF(H10&gt;$B$4,"Ganho real",IF(H10&lt;-$B$4,"Perda real","Neutro"))</f>
        <v>Perda real</v>
      </c>
      <c r="J10" s="7"/>
    </row>
    <row r="11" customFormat="false" ht="15" hidden="false" customHeight="false" outlineLevel="0" collapsed="false">
      <c r="A11" s="9" t="s">
        <v>38</v>
      </c>
      <c r="B11" s="11" t="s">
        <v>39</v>
      </c>
      <c r="C11" s="12" t="n">
        <f aca="false">COUNT(Dados_anuais!A18:A21)</f>
        <v>4</v>
      </c>
      <c r="D11" s="13" t="n">
        <f aca="false">PRODUCT(Dados_anuais!K18:K21)-1</f>
        <v>0.263278140919248</v>
      </c>
      <c r="E11" s="13" t="n">
        <f aca="false">PRODUCT(Dados_anuais!J18:J21)-1</f>
        <v>0.3091179581</v>
      </c>
      <c r="F11" s="14" t="n">
        <f aca="false">(1+E11)/(1+D11)-1</f>
        <v>0.0362864009879855</v>
      </c>
      <c r="G11" s="13" t="n">
        <f aca="false">PRODUCT(Dados_anuais!L18:L21)-1</f>
        <v>0.273585965967933</v>
      </c>
      <c r="H11" s="14" t="n">
        <f aca="false">(1+E11)/(1+G11)-1</f>
        <v>0.0278991705951022</v>
      </c>
      <c r="I11" s="11" t="str">
        <f aca="false">IF(H11&gt;$B$4,"Ganho real",IF(H11&lt;-$B$4,"Perda real","Neutro"))</f>
        <v>Ganho real</v>
      </c>
      <c r="J11" s="7" t="s">
        <v>40</v>
      </c>
    </row>
    <row r="12" customFormat="false" ht="23.85" hidden="false" customHeight="false" outlineLevel="0" collapsed="false">
      <c r="A12" s="9" t="s">
        <v>41</v>
      </c>
      <c r="B12" s="11" t="s">
        <v>42</v>
      </c>
      <c r="C12" s="12" t="n">
        <f aca="false">COUNT(Dados_anuais!A22:A25)</f>
        <v>4</v>
      </c>
      <c r="D12" s="13" t="n">
        <f aca="false">PRODUCT(Dados_anuais!K22:K25)-1</f>
        <v>0.252062201103129</v>
      </c>
      <c r="E12" s="13" t="n">
        <f aca="false">PRODUCT(Dados_anuais!J22:J25)-1</f>
        <v>0.1527265243</v>
      </c>
      <c r="F12" s="14" t="n">
        <f aca="false">(1+E12)/(1+D12)-1</f>
        <v>-0.0793376532856032</v>
      </c>
      <c r="G12" s="13" t="n">
        <f aca="false">PRODUCT(Dados_anuais!L22:L25)-1</f>
        <v>0.272336036476269</v>
      </c>
      <c r="H12" s="14" t="n">
        <f aca="false">(1+E12)/(1+G12)-1</f>
        <v>-0.0940078004137395</v>
      </c>
      <c r="I12" s="11" t="str">
        <f aca="false">IF(H12&gt;$B$4,"Ganho real",IF(H12&lt;-$B$4,"Perda real","Neutro"))</f>
        <v>Perda real</v>
      </c>
      <c r="J12" s="7" t="s">
        <v>43</v>
      </c>
    </row>
    <row r="13" customFormat="false" ht="15" hidden="false" customHeight="false" outlineLevel="0" collapsed="false">
      <c r="A13" s="9" t="s">
        <v>44</v>
      </c>
      <c r="B13" s="11" t="s">
        <v>45</v>
      </c>
      <c r="C13" s="12" t="n">
        <f aca="false">COUNT(Dados_anuais!A26:A29)</f>
        <v>4</v>
      </c>
      <c r="D13" s="13" t="n">
        <f aca="false">PRODUCT(Dados_anuais!K26:K29)-1</f>
        <v>0.285667293412023</v>
      </c>
      <c r="E13" s="13" t="n">
        <f aca="false">PRODUCT(Dados_anuais!J26:J29)-1</f>
        <v>0.27718943426</v>
      </c>
      <c r="F13" s="14" t="n">
        <f aca="false">(1+E13)/(1+D13)-1</f>
        <v>-0.00659413146423293</v>
      </c>
      <c r="G13" s="13" t="n">
        <f aca="false">PRODUCT(Dados_anuais!L26:L29)-1</f>
        <v>0.281604941725409</v>
      </c>
      <c r="H13" s="14" t="n">
        <f aca="false">(1+E13)/(1+G13)-1</f>
        <v>-0.00344529528691118</v>
      </c>
      <c r="I13" s="11" t="str">
        <f aca="false">IF(H13&gt;$B$4,"Ganho real",IF(H13&lt;-$B$4,"Perda real","Neutro"))</f>
        <v>Neutro</v>
      </c>
      <c r="J13" s="7" t="s">
        <v>46</v>
      </c>
    </row>
    <row r="14" customFormat="false" ht="23.85" hidden="false" customHeight="false" outlineLevel="0" collapsed="false">
      <c r="A14" s="9" t="s">
        <v>47</v>
      </c>
      <c r="B14" s="11" t="s">
        <v>48</v>
      </c>
      <c r="C14" s="12" t="n">
        <f aca="false">COUNT(Dados_anuais!A30:A33)</f>
        <v>4</v>
      </c>
      <c r="D14" s="13" t="n">
        <f aca="false">PRODUCT(Dados_anuais!K30:K33)-1</f>
        <v>0.174165302115263</v>
      </c>
      <c r="E14" s="13" t="n">
        <f aca="false">PRODUCT(Dados_anuais!J30:J33)-1</f>
        <v>0.17787634896547</v>
      </c>
      <c r="F14" s="14" t="n">
        <f aca="false">(1+E14)/(1+D14)-1</f>
        <v>0.00316058296350796</v>
      </c>
      <c r="G14" s="13" t="n">
        <f aca="false">PRODUCT(Dados_anuais!L30:L33)-1</f>
        <v>0.178973598319627</v>
      </c>
      <c r="H14" s="14" t="n">
        <f aca="false">(1+E14)/(1+G14)-1</f>
        <v>-0.000930681870841221</v>
      </c>
      <c r="I14" s="11" t="str">
        <f aca="false">IF(H14&gt;$B$4,"Ganho real",IF(H14&lt;-$B$4,"Perda real","Neutro"))</f>
        <v>Neutro</v>
      </c>
      <c r="J14" s="7" t="s">
        <v>49</v>
      </c>
    </row>
    <row r="16" customFormat="false" ht="15" hidden="false" customHeight="false" outlineLevel="0" collapsed="false">
      <c r="A16" s="9" t="s">
        <v>50</v>
      </c>
      <c r="D16" s="12" t="n">
        <f aca="false">COUNTIF(I7:I14,"Ganho real")</f>
        <v>1</v>
      </c>
    </row>
    <row r="17" customFormat="false" ht="15" hidden="false" customHeight="false" outlineLevel="0" collapsed="false">
      <c r="A17" s="9" t="s">
        <v>51</v>
      </c>
      <c r="D17" s="12" t="n">
        <f aca="false">COUNTIF(F7:F14,"&gt;"&amp;$B$4)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6" min="5" style="0" width="14"/>
    <col collapsed="false" customWidth="true" hidden="false" outlineLevel="0" max="7" min="7" style="0" width="18"/>
    <col collapsed="false" customWidth="true" hidden="false" outlineLevel="0" max="9" min="8" style="0" width="13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60"/>
  </cols>
  <sheetData>
    <row r="1" customFormat="false" ht="42" hidden="false" customHeight="true" outlineLevel="0" collapsed="false">
      <c r="A1" s="3" t="s">
        <v>52</v>
      </c>
      <c r="B1" s="3" t="s">
        <v>2</v>
      </c>
      <c r="C1" s="3" t="s">
        <v>53</v>
      </c>
      <c r="D1" s="3" t="s">
        <v>54</v>
      </c>
      <c r="E1" s="3" t="s">
        <v>55</v>
      </c>
      <c r="F1" s="3" t="s">
        <v>56</v>
      </c>
      <c r="G1" s="3" t="s">
        <v>57</v>
      </c>
      <c r="H1" s="3" t="s">
        <v>4</v>
      </c>
      <c r="I1" s="3" t="s">
        <v>5</v>
      </c>
      <c r="J1" s="3" t="s">
        <v>58</v>
      </c>
      <c r="K1" s="3" t="s">
        <v>59</v>
      </c>
      <c r="L1" s="3" t="s">
        <v>60</v>
      </c>
      <c r="M1" s="3" t="s">
        <v>27</v>
      </c>
    </row>
    <row r="2" customFormat="false" ht="23.85" hidden="false" customHeight="false" outlineLevel="0" collapsed="false">
      <c r="A2" s="12" t="n">
        <v>1995</v>
      </c>
      <c r="B2" s="11" t="s">
        <v>28</v>
      </c>
      <c r="C2" s="11" t="s">
        <v>61</v>
      </c>
      <c r="D2" s="11" t="s">
        <v>62</v>
      </c>
      <c r="E2" s="15" t="n">
        <v>0.0327</v>
      </c>
      <c r="F2" s="13" t="n">
        <f aca="false">INPC_mensal!D20/INPC_mensal!D8-1</f>
        <v>0.219813870024027</v>
      </c>
      <c r="G2" s="13" t="n">
        <f aca="false">INPC_mensal!D15/INPC_mensal!D3-1</f>
        <v>0.268371170082566</v>
      </c>
      <c r="H2" s="14" t="n">
        <f aca="false">(1+E2)/(1+F2)-1</f>
        <v>-0.153395427468243</v>
      </c>
      <c r="I2" s="14" t="n">
        <f aca="false">(1+E2)/(1+G2)-1</f>
        <v>-0.185806154886999</v>
      </c>
      <c r="J2" s="16" t="n">
        <f aca="false">1+E2</f>
        <v>1.0327</v>
      </c>
      <c r="K2" s="16" t="n">
        <f aca="false">1+F2</f>
        <v>1.21981387002403</v>
      </c>
      <c r="L2" s="16" t="n">
        <f aca="false">1+G2</f>
        <v>1.26837117008257</v>
      </c>
      <c r="M2" s="7" t="s">
        <v>63</v>
      </c>
    </row>
    <row r="3" customFormat="false" ht="15" hidden="false" customHeight="false" outlineLevel="0" collapsed="false">
      <c r="A3" s="12" t="n">
        <v>1996</v>
      </c>
      <c r="B3" s="11" t="s">
        <v>28</v>
      </c>
      <c r="C3" s="11" t="s">
        <v>61</v>
      </c>
      <c r="D3" s="11" t="s">
        <v>64</v>
      </c>
      <c r="E3" s="15" t="n">
        <v>0.0956</v>
      </c>
      <c r="F3" s="13" t="n">
        <f aca="false">INPC_mensal!D32/INPC_mensal!D20-1</f>
        <v>0.0911705059228758</v>
      </c>
      <c r="G3" s="13" t="n">
        <f aca="false">INPC_mensal!D27/INPC_mensal!D15-1</f>
        <v>0.148684831652316</v>
      </c>
      <c r="H3" s="14" t="n">
        <f aca="false">(1+E3)/(1+F3)-1</f>
        <v>0.00405939681569545</v>
      </c>
      <c r="I3" s="14" t="n">
        <f aca="false">(1+E3)/(1+G3)-1</f>
        <v>-0.0462135741585065</v>
      </c>
      <c r="J3" s="16" t="n">
        <f aca="false">1+E3</f>
        <v>1.0956</v>
      </c>
      <c r="K3" s="16" t="n">
        <f aca="false">1+F3</f>
        <v>1.09117050592288</v>
      </c>
      <c r="L3" s="16" t="n">
        <f aca="false">1+G3</f>
        <v>1.14868483165232</v>
      </c>
      <c r="M3" s="7" t="s">
        <v>65</v>
      </c>
    </row>
    <row r="4" customFormat="false" ht="15" hidden="false" customHeight="false" outlineLevel="0" collapsed="false">
      <c r="A4" s="12" t="n">
        <v>1997</v>
      </c>
      <c r="B4" s="11" t="s">
        <v>28</v>
      </c>
      <c r="C4" s="11" t="s">
        <v>61</v>
      </c>
      <c r="D4" s="11" t="s">
        <v>62</v>
      </c>
      <c r="E4" s="15" t="n">
        <v>0.05</v>
      </c>
      <c r="F4" s="13" t="n">
        <f aca="false">INPC_mensal!D44/INPC_mensal!D32-1</f>
        <v>0.0434013964542135</v>
      </c>
      <c r="G4" s="13" t="n">
        <f aca="false">INPC_mensal!D39/INPC_mensal!D27-1</f>
        <v>0.0485173500464484</v>
      </c>
      <c r="H4" s="14" t="n">
        <f aca="false">(1+E4)/(1+F4)-1</f>
        <v>0.00632412757756562</v>
      </c>
      <c r="I4" s="14" t="n">
        <f aca="false">(1+E4)/(1+G4)-1</f>
        <v>0.00141404427259695</v>
      </c>
      <c r="J4" s="16" t="n">
        <f aca="false">1+E4</f>
        <v>1.05</v>
      </c>
      <c r="K4" s="16" t="n">
        <f aca="false">1+F4</f>
        <v>1.04340139645421</v>
      </c>
      <c r="L4" s="16" t="n">
        <f aca="false">1+G4</f>
        <v>1.04851735004645</v>
      </c>
      <c r="M4" s="7" t="s">
        <v>66</v>
      </c>
    </row>
    <row r="5" customFormat="false" ht="15" hidden="false" customHeight="false" outlineLevel="0" collapsed="false">
      <c r="A5" s="12" t="n">
        <v>1998</v>
      </c>
      <c r="B5" s="11" t="s">
        <v>28</v>
      </c>
      <c r="C5" s="11" t="s">
        <v>61</v>
      </c>
      <c r="D5" s="11" t="s">
        <v>62</v>
      </c>
      <c r="E5" s="15" t="n">
        <v>0.02</v>
      </c>
      <c r="F5" s="13" t="n">
        <f aca="false">INPC_mensal!D56/INPC_mensal!D44-1</f>
        <v>0.0248730603639282</v>
      </c>
      <c r="G5" s="13" t="n">
        <f aca="false">INPC_mensal!D51/INPC_mensal!D39-1</f>
        <v>0.0406802580453549</v>
      </c>
      <c r="H5" s="14" t="n">
        <f aca="false">(1+E5)/(1+F5)-1</f>
        <v>-0.00475479408366708</v>
      </c>
      <c r="I5" s="14" t="n">
        <f aca="false">(1+E5)/(1+G5)-1</f>
        <v>-0.0198718654317488</v>
      </c>
      <c r="J5" s="16" t="n">
        <f aca="false">1+E5</f>
        <v>1.02</v>
      </c>
      <c r="K5" s="16" t="n">
        <f aca="false">1+F5</f>
        <v>1.02487306036393</v>
      </c>
      <c r="L5" s="16" t="n">
        <f aca="false">1+G5</f>
        <v>1.04068025804536</v>
      </c>
      <c r="M5" s="7" t="s">
        <v>67</v>
      </c>
    </row>
    <row r="6" customFormat="false" ht="15" hidden="false" customHeight="false" outlineLevel="0" collapsed="false">
      <c r="A6" s="12" t="n">
        <v>1999</v>
      </c>
      <c r="B6" s="11" t="s">
        <v>31</v>
      </c>
      <c r="C6" s="11" t="s">
        <v>61</v>
      </c>
      <c r="D6" s="11" t="s">
        <v>62</v>
      </c>
      <c r="E6" s="15" t="n">
        <v>0.02</v>
      </c>
      <c r="F6" s="13" t="n">
        <f aca="false">INPC_mensal!D68/INPC_mensal!D56-1</f>
        <v>0.0843026084990191</v>
      </c>
      <c r="G6" s="13" t="n">
        <f aca="false">INPC_mensal!D63/INPC_mensal!D51-1</f>
        <v>0.041590357449341</v>
      </c>
      <c r="H6" s="14" t="n">
        <f aca="false">(1+E6)/(1+F6)-1</f>
        <v>-0.0593031945095401</v>
      </c>
      <c r="I6" s="14" t="n">
        <f aca="false">(1+E6)/(1+G6)-1</f>
        <v>-0.0207282616384926</v>
      </c>
      <c r="J6" s="16" t="n">
        <f aca="false">1+E6</f>
        <v>1.02</v>
      </c>
      <c r="K6" s="16" t="n">
        <f aca="false">1+F6</f>
        <v>1.08430260849902</v>
      </c>
      <c r="L6" s="16" t="n">
        <f aca="false">1+G6</f>
        <v>1.04159035744934</v>
      </c>
      <c r="M6" s="7" t="s">
        <v>68</v>
      </c>
    </row>
    <row r="7" customFormat="false" ht="15" hidden="false" customHeight="false" outlineLevel="0" collapsed="false">
      <c r="A7" s="12" t="n">
        <v>2000</v>
      </c>
      <c r="B7" s="11" t="s">
        <v>31</v>
      </c>
      <c r="C7" s="11" t="s">
        <v>61</v>
      </c>
      <c r="D7" s="11" t="s">
        <v>64</v>
      </c>
      <c r="E7" s="15" t="n">
        <v>0.03</v>
      </c>
      <c r="F7" s="13" t="n">
        <f aca="false">INPC_mensal!D80/INPC_mensal!D68-1</f>
        <v>0.0527200912949428</v>
      </c>
      <c r="G7" s="13" t="n">
        <f aca="false">INPC_mensal!D75/INPC_mensal!D63-1</f>
        <v>0.0626227751793362</v>
      </c>
      <c r="H7" s="14" t="n">
        <f aca="false">(1+E7)/(1+F7)-1</f>
        <v>-0.0215822719475174</v>
      </c>
      <c r="I7" s="14" t="n">
        <f aca="false">(1+E7)/(1+G7)-1</f>
        <v>-0.030700240895769</v>
      </c>
      <c r="J7" s="16" t="n">
        <f aca="false">1+E7</f>
        <v>1.03</v>
      </c>
      <c r="K7" s="16" t="n">
        <f aca="false">1+F7</f>
        <v>1.05272009129494</v>
      </c>
      <c r="L7" s="16" t="n">
        <f aca="false">1+G7</f>
        <v>1.06262277517934</v>
      </c>
      <c r="M7" s="7" t="s">
        <v>69</v>
      </c>
    </row>
    <row r="8" customFormat="false" ht="15" hidden="false" customHeight="false" outlineLevel="0" collapsed="false">
      <c r="A8" s="12" t="n">
        <v>2001</v>
      </c>
      <c r="B8" s="11" t="s">
        <v>31</v>
      </c>
      <c r="C8" s="11" t="s">
        <v>61</v>
      </c>
      <c r="D8" s="11" t="s">
        <v>62</v>
      </c>
      <c r="E8" s="15" t="n">
        <v>0.06</v>
      </c>
      <c r="F8" s="13" t="n">
        <f aca="false">INPC_mensal!D92/INPC_mensal!D80-1</f>
        <v>0.094417620484587</v>
      </c>
      <c r="G8" s="13" t="n">
        <f aca="false">INPC_mensal!D87/INPC_mensal!D75-1</f>
        <v>0.0775762703493828</v>
      </c>
      <c r="H8" s="14" t="n">
        <f aca="false">(1+E8)/(1+F8)-1</f>
        <v>-0.0314483427901567</v>
      </c>
      <c r="I8" s="14" t="n">
        <f aca="false">(1+E8)/(1+G8)-1</f>
        <v>-0.0163109292891945</v>
      </c>
      <c r="J8" s="16" t="n">
        <f aca="false">1+E8</f>
        <v>1.06</v>
      </c>
      <c r="K8" s="16" t="n">
        <f aca="false">1+F8</f>
        <v>1.09441762048459</v>
      </c>
      <c r="L8" s="16" t="n">
        <f aca="false">1+G8</f>
        <v>1.07757627034938</v>
      </c>
      <c r="M8" s="7" t="s">
        <v>70</v>
      </c>
    </row>
    <row r="9" customFormat="false" ht="15" hidden="false" customHeight="false" outlineLevel="0" collapsed="false">
      <c r="A9" s="12" t="n">
        <v>2002</v>
      </c>
      <c r="B9" s="11" t="s">
        <v>31</v>
      </c>
      <c r="C9" s="11" t="s">
        <v>61</v>
      </c>
      <c r="D9" s="11" t="s">
        <v>62</v>
      </c>
      <c r="E9" s="15" t="n">
        <v>0.04</v>
      </c>
      <c r="F9" s="13" t="n">
        <f aca="false">INPC_mensal!D104/INPC_mensal!D92-1</f>
        <v>0.147400153701573</v>
      </c>
      <c r="G9" s="13" t="n">
        <f aca="false">INPC_mensal!D99/INPC_mensal!D87-1</f>
        <v>0.0908064784975058</v>
      </c>
      <c r="H9" s="14" t="n">
        <f aca="false">(1+E9)/(1+F9)-1</f>
        <v>-0.0936030497774422</v>
      </c>
      <c r="I9" s="14" t="n">
        <f aca="false">(1+E9)/(1+G9)-1</f>
        <v>-0.0465769863848695</v>
      </c>
      <c r="J9" s="16" t="n">
        <f aca="false">1+E9</f>
        <v>1.04</v>
      </c>
      <c r="K9" s="16" t="n">
        <f aca="false">1+F9</f>
        <v>1.14740015370157</v>
      </c>
      <c r="L9" s="16" t="n">
        <f aca="false">1+G9</f>
        <v>1.09080647849751</v>
      </c>
      <c r="M9" s="7" t="s">
        <v>71</v>
      </c>
    </row>
    <row r="10" customFormat="false" ht="15" hidden="false" customHeight="false" outlineLevel="0" collapsed="false">
      <c r="A10" s="12" t="n">
        <v>2003</v>
      </c>
      <c r="B10" s="11" t="s">
        <v>34</v>
      </c>
      <c r="C10" s="11" t="s">
        <v>72</v>
      </c>
      <c r="D10" s="11" t="s">
        <v>62</v>
      </c>
      <c r="E10" s="15" t="n">
        <v>0.06</v>
      </c>
      <c r="F10" s="13" t="n">
        <f aca="false">INPC_mensal!D116/INPC_mensal!D104-1</f>
        <v>0.103838932650592</v>
      </c>
      <c r="G10" s="13" t="n">
        <f aca="false">INPC_mensal!D111/INPC_mensal!D99-1</f>
        <v>0.183226507076071</v>
      </c>
      <c r="H10" s="14" t="n">
        <f aca="false">(1+E10)/(1+F10)-1</f>
        <v>-0.0397149723151395</v>
      </c>
      <c r="I10" s="14" t="n">
        <f aca="false">(1+E10)/(1+G10)-1</f>
        <v>-0.104144478119056</v>
      </c>
      <c r="J10" s="16" t="n">
        <f aca="false">1+E10</f>
        <v>1.06</v>
      </c>
      <c r="K10" s="16" t="n">
        <f aca="false">1+F10</f>
        <v>1.10383893265059</v>
      </c>
      <c r="L10" s="16" t="n">
        <f aca="false">1+G10</f>
        <v>1.18322650707607</v>
      </c>
      <c r="M10" s="7" t="s">
        <v>73</v>
      </c>
    </row>
    <row r="11" customFormat="false" ht="15" hidden="false" customHeight="false" outlineLevel="0" collapsed="false">
      <c r="A11" s="12" t="n">
        <v>2004</v>
      </c>
      <c r="B11" s="11" t="s">
        <v>34</v>
      </c>
      <c r="C11" s="11" t="s">
        <v>72</v>
      </c>
      <c r="D11" s="11" t="s">
        <v>62</v>
      </c>
      <c r="E11" s="15" t="n">
        <v>0.0681</v>
      </c>
      <c r="F11" s="13" t="n">
        <f aca="false">INPC_mensal!D128/INPC_mensal!D116-1</f>
        <v>0.0613321602220391</v>
      </c>
      <c r="G11" s="13" t="n">
        <f aca="false">INPC_mensal!D123/INPC_mensal!D111-1</f>
        <v>0.0630292800241921</v>
      </c>
      <c r="H11" s="14" t="n">
        <f aca="false">(1+E11)/(1+F11)-1</f>
        <v>0.00637674050746284</v>
      </c>
      <c r="I11" s="14" t="n">
        <f aca="false">(1+E11)/(1+G11)-1</f>
        <v>0.00477006614125686</v>
      </c>
      <c r="J11" s="16" t="n">
        <f aca="false">1+E11</f>
        <v>1.0681</v>
      </c>
      <c r="K11" s="16" t="n">
        <f aca="false">1+F11</f>
        <v>1.06133216022204</v>
      </c>
      <c r="L11" s="16" t="n">
        <f aca="false">1+G11</f>
        <v>1.06302928002419</v>
      </c>
      <c r="M11" s="7" t="s">
        <v>74</v>
      </c>
    </row>
    <row r="12" customFormat="false" ht="15" hidden="false" customHeight="false" outlineLevel="0" collapsed="false">
      <c r="A12" s="12" t="n">
        <v>2005</v>
      </c>
      <c r="B12" s="11" t="s">
        <v>34</v>
      </c>
      <c r="C12" s="11" t="s">
        <v>72</v>
      </c>
      <c r="D12" s="11" t="s">
        <v>62</v>
      </c>
      <c r="E12" s="15" t="n">
        <v>0.0707</v>
      </c>
      <c r="F12" s="13" t="n">
        <f aca="false">INPC_mensal!D140/INPC_mensal!D128-1</f>
        <v>0.0504735588782495</v>
      </c>
      <c r="G12" s="13" t="n">
        <f aca="false">INPC_mensal!D135/INPC_mensal!D123-1</f>
        <v>0.0553998398751225</v>
      </c>
      <c r="H12" s="14" t="n">
        <f aca="false">(1+E12)/(1+F12)-1</f>
        <v>0.0192545932744366</v>
      </c>
      <c r="I12" s="14" t="n">
        <f aca="false">(1+E12)/(1+G12)-1</f>
        <v>0.0144970271425167</v>
      </c>
      <c r="J12" s="16" t="n">
        <f aca="false">1+E12</f>
        <v>1.0707</v>
      </c>
      <c r="K12" s="16" t="n">
        <f aca="false">1+F12</f>
        <v>1.05047355887825</v>
      </c>
      <c r="L12" s="16" t="n">
        <f aca="false">1+G12</f>
        <v>1.05539983987512</v>
      </c>
      <c r="M12" s="7" t="s">
        <v>75</v>
      </c>
    </row>
    <row r="13" customFormat="false" ht="15" hidden="false" customHeight="false" outlineLevel="0" collapsed="false">
      <c r="A13" s="12" t="n">
        <v>2006</v>
      </c>
      <c r="B13" s="11" t="s">
        <v>34</v>
      </c>
      <c r="C13" s="11" t="s">
        <v>72</v>
      </c>
      <c r="D13" s="11" t="s">
        <v>62</v>
      </c>
      <c r="E13" s="15" t="n">
        <v>0</v>
      </c>
      <c r="F13" s="13" t="n">
        <f aca="false">INPC_mensal!D152/INPC_mensal!D140-1</f>
        <v>0.028134147239276</v>
      </c>
      <c r="G13" s="13" t="n">
        <f aca="false">INPC_mensal!D147/INPC_mensal!D135-1</f>
        <v>0.0287492252356307</v>
      </c>
      <c r="H13" s="14" t="n">
        <f aca="false">(1+E13)/(1+F13)-1</f>
        <v>-0.0273642766508837</v>
      </c>
      <c r="I13" s="14" t="n">
        <f aca="false">(1+E13)/(1+G13)-1</f>
        <v>-0.0279458049934821</v>
      </c>
      <c r="J13" s="16" t="n">
        <f aca="false">1+E13</f>
        <v>1</v>
      </c>
      <c r="K13" s="16" t="n">
        <f aca="false">1+F13</f>
        <v>1.02813414723928</v>
      </c>
      <c r="L13" s="16" t="n">
        <f aca="false">1+G13</f>
        <v>1.02874922523563</v>
      </c>
      <c r="M13" s="7" t="s">
        <v>76</v>
      </c>
    </row>
    <row r="14" customFormat="false" ht="15" hidden="false" customHeight="false" outlineLevel="0" collapsed="false">
      <c r="A14" s="12" t="n">
        <v>2007</v>
      </c>
      <c r="B14" s="11" t="s">
        <v>36</v>
      </c>
      <c r="C14" s="11" t="s">
        <v>72</v>
      </c>
      <c r="D14" s="11" t="s">
        <v>62</v>
      </c>
      <c r="E14" s="15" t="n">
        <v>0.0374</v>
      </c>
      <c r="F14" s="13" t="n">
        <f aca="false">INPC_mensal!D164/INPC_mensal!D152-1</f>
        <v>0.0515571075820989</v>
      </c>
      <c r="G14" s="13" t="n">
        <f aca="false">INPC_mensal!D159/INPC_mensal!D147-1</f>
        <v>0.0418671926761192</v>
      </c>
      <c r="H14" s="14" t="n">
        <f aca="false">(1+E14)/(1+F14)-1</f>
        <v>-0.0134629945249963</v>
      </c>
      <c r="I14" s="14" t="n">
        <f aca="false">(1+E14)/(1+G14)-1</f>
        <v>-0.00428767956945142</v>
      </c>
      <c r="J14" s="16" t="n">
        <f aca="false">1+E14</f>
        <v>1.0374</v>
      </c>
      <c r="K14" s="16" t="n">
        <f aca="false">1+F14</f>
        <v>1.0515571075821</v>
      </c>
      <c r="L14" s="16" t="n">
        <f aca="false">1+G14</f>
        <v>1.04186719267612</v>
      </c>
      <c r="M14" s="7" t="s">
        <v>77</v>
      </c>
    </row>
    <row r="15" customFormat="false" ht="15" hidden="false" customHeight="false" outlineLevel="0" collapsed="false">
      <c r="A15" s="12" t="n">
        <v>2008</v>
      </c>
      <c r="B15" s="11" t="s">
        <v>36</v>
      </c>
      <c r="C15" s="11" t="s">
        <v>72</v>
      </c>
      <c r="D15" s="11" t="s">
        <v>62</v>
      </c>
      <c r="E15" s="15" t="n">
        <v>0.0737</v>
      </c>
      <c r="F15" s="13" t="n">
        <f aca="false">INPC_mensal!D176/INPC_mensal!D164-1</f>
        <v>0.0648144789310914</v>
      </c>
      <c r="G15" s="13" t="n">
        <f aca="false">INPC_mensal!D171/INPC_mensal!D159-1</f>
        <v>0.0755658116314395</v>
      </c>
      <c r="H15" s="14" t="n">
        <f aca="false">(1+E15)/(1+F15)-1</f>
        <v>0.00834466589694416</v>
      </c>
      <c r="I15" s="14" t="n">
        <f aca="false">(1+E15)/(1+G15)-1</f>
        <v>-0.00173472567764987</v>
      </c>
      <c r="J15" s="16" t="n">
        <f aca="false">1+E15</f>
        <v>1.0737</v>
      </c>
      <c r="K15" s="16" t="n">
        <f aca="false">1+F15</f>
        <v>1.06481447893109</v>
      </c>
      <c r="L15" s="16" t="n">
        <f aca="false">1+G15</f>
        <v>1.07556581163144</v>
      </c>
      <c r="M15" s="7" t="s">
        <v>78</v>
      </c>
    </row>
    <row r="16" customFormat="false" ht="15" hidden="false" customHeight="false" outlineLevel="0" collapsed="false">
      <c r="A16" s="12" t="n">
        <v>2009</v>
      </c>
      <c r="B16" s="11" t="s">
        <v>36</v>
      </c>
      <c r="C16" s="11" t="s">
        <v>72</v>
      </c>
      <c r="D16" s="11" t="s">
        <v>62</v>
      </c>
      <c r="E16" s="15" t="n">
        <v>0.09</v>
      </c>
      <c r="F16" s="13" t="n">
        <f aca="false">INPC_mensal!D188/INPC_mensal!D176-1</f>
        <v>0.0411378511091733</v>
      </c>
      <c r="G16" s="13" t="n">
        <f aca="false">INPC_mensal!D183/INPC_mensal!D171-1</f>
        <v>0.0457153505228307</v>
      </c>
      <c r="H16" s="14" t="n">
        <f aca="false">(1+E16)/(1+F16)-1</f>
        <v>0.0469314883123033</v>
      </c>
      <c r="I16" s="14" t="n">
        <f aca="false">(1+E16)/(1+G16)-1</f>
        <v>0.0423486653944865</v>
      </c>
      <c r="J16" s="16" t="n">
        <f aca="false">1+E16</f>
        <v>1.09</v>
      </c>
      <c r="K16" s="16" t="n">
        <f aca="false">1+F16</f>
        <v>1.04113785110917</v>
      </c>
      <c r="L16" s="16" t="n">
        <f aca="false">1+G16</f>
        <v>1.04571535052283</v>
      </c>
      <c r="M16" s="7" t="s">
        <v>79</v>
      </c>
    </row>
    <row r="17" customFormat="false" ht="15" hidden="false" customHeight="false" outlineLevel="0" collapsed="false">
      <c r="A17" s="12" t="n">
        <v>2010</v>
      </c>
      <c r="B17" s="11" t="s">
        <v>36</v>
      </c>
      <c r="C17" s="11" t="s">
        <v>72</v>
      </c>
      <c r="D17" s="11" t="s">
        <v>62</v>
      </c>
      <c r="E17" s="15" t="n">
        <v>0</v>
      </c>
      <c r="F17" s="13" t="n">
        <f aca="false">INPC_mensal!D200/INPC_mensal!D188-1</f>
        <v>0.0646520167979223</v>
      </c>
      <c r="G17" s="13" t="n">
        <f aca="false">INPC_mensal!D195/INPC_mensal!D183-1</f>
        <v>0.0444195436543311</v>
      </c>
      <c r="H17" s="14" t="n">
        <f aca="false">(1+E17)/(1+F17)-1</f>
        <v>-0.0607259609504818</v>
      </c>
      <c r="I17" s="14" t="n">
        <f aca="false">(1+E17)/(1+G17)-1</f>
        <v>-0.0425303642814946</v>
      </c>
      <c r="J17" s="16" t="n">
        <f aca="false">1+E17</f>
        <v>1</v>
      </c>
      <c r="K17" s="16" t="n">
        <f aca="false">1+F17</f>
        <v>1.06465201679792</v>
      </c>
      <c r="L17" s="16" t="n">
        <f aca="false">1+G17</f>
        <v>1.04441954365433</v>
      </c>
      <c r="M17" s="7" t="s">
        <v>80</v>
      </c>
    </row>
    <row r="18" customFormat="false" ht="15" hidden="false" customHeight="false" outlineLevel="0" collapsed="false">
      <c r="A18" s="12" t="n">
        <v>2011</v>
      </c>
      <c r="B18" s="11" t="s">
        <v>38</v>
      </c>
      <c r="C18" s="11" t="s">
        <v>81</v>
      </c>
      <c r="D18" s="11" t="s">
        <v>64</v>
      </c>
      <c r="E18" s="15" t="n">
        <v>0.0687</v>
      </c>
      <c r="F18" s="13" t="n">
        <f aca="false">INPC_mensal!D212/INPC_mensal!D200-1</f>
        <v>0.0607989415083028</v>
      </c>
      <c r="G18" s="13" t="n">
        <f aca="false">INPC_mensal!D207/INPC_mensal!D195-1</f>
        <v>0.0687054320527831</v>
      </c>
      <c r="H18" s="14" t="n">
        <f aca="false">(1+E18)/(1+F18)-1</f>
        <v>0.00744821490909775</v>
      </c>
      <c r="I18" s="14" t="n">
        <f aca="false">(1+E18)/(1+G18)-1</f>
        <v>-5.08283444644597E-006</v>
      </c>
      <c r="J18" s="16" t="n">
        <f aca="false">1+E18</f>
        <v>1.0687</v>
      </c>
      <c r="K18" s="16" t="n">
        <f aca="false">1+F18</f>
        <v>1.0607989415083</v>
      </c>
      <c r="L18" s="16" t="n">
        <f aca="false">1+G18</f>
        <v>1.06870543205278</v>
      </c>
      <c r="M18" s="7" t="s">
        <v>82</v>
      </c>
    </row>
    <row r="19" customFormat="false" ht="15" hidden="false" customHeight="false" outlineLevel="0" collapsed="false">
      <c r="A19" s="12" t="n">
        <v>2012</v>
      </c>
      <c r="B19" s="11" t="s">
        <v>38</v>
      </c>
      <c r="C19" s="11" t="s">
        <v>81</v>
      </c>
      <c r="D19" s="11" t="s">
        <v>64</v>
      </c>
      <c r="E19" s="15" t="n">
        <v>0.065</v>
      </c>
      <c r="F19" s="13" t="n">
        <f aca="false">INPC_mensal!D224/INPC_mensal!D212-1</f>
        <v>0.0619778478161597</v>
      </c>
      <c r="G19" s="13" t="n">
        <f aca="false">INPC_mensal!D219/INPC_mensal!D207-1</f>
        <v>0.0535618235189204</v>
      </c>
      <c r="H19" s="14" t="n">
        <f aca="false">(1+E19)/(1+F19)-1</f>
        <v>0.00284577704709665</v>
      </c>
      <c r="I19" s="14" t="n">
        <f aca="false">(1+E19)/(1+G19)-1</f>
        <v>0.0108566732637254</v>
      </c>
      <c r="J19" s="16" t="n">
        <f aca="false">1+E19</f>
        <v>1.065</v>
      </c>
      <c r="K19" s="16" t="n">
        <f aca="false">1+F19</f>
        <v>1.06197784781616</v>
      </c>
      <c r="L19" s="16" t="n">
        <f aca="false">1+G19</f>
        <v>1.05356182351892</v>
      </c>
      <c r="M19" s="7" t="s">
        <v>83</v>
      </c>
    </row>
    <row r="20" customFormat="false" ht="15" hidden="false" customHeight="false" outlineLevel="0" collapsed="false">
      <c r="A20" s="12" t="n">
        <v>2013</v>
      </c>
      <c r="B20" s="11" t="s">
        <v>38</v>
      </c>
      <c r="C20" s="11" t="s">
        <v>81</v>
      </c>
      <c r="D20" s="11" t="s">
        <v>64</v>
      </c>
      <c r="E20" s="15" t="n">
        <v>0.08</v>
      </c>
      <c r="F20" s="13" t="n">
        <f aca="false">INPC_mensal!D236/INPC_mensal!D224-1</f>
        <v>0.0556266370673657</v>
      </c>
      <c r="G20" s="13" t="n">
        <f aca="false">INPC_mensal!D231/INPC_mensal!D219-1</f>
        <v>0.0637512900457733</v>
      </c>
      <c r="H20" s="14" t="n">
        <f aca="false">(1+E20)/(1+F20)-1</f>
        <v>0.023088999535239</v>
      </c>
      <c r="I20" s="14" t="n">
        <f aca="false">(1+E20)/(1+G20)-1</f>
        <v>0.0152749144525386</v>
      </c>
      <c r="J20" s="16" t="n">
        <f aca="false">1+E20</f>
        <v>1.08</v>
      </c>
      <c r="K20" s="16" t="n">
        <f aca="false">1+F20</f>
        <v>1.05562663706737</v>
      </c>
      <c r="L20" s="16" t="n">
        <f aca="false">1+G20</f>
        <v>1.06375129004577</v>
      </c>
      <c r="M20" s="7" t="s">
        <v>84</v>
      </c>
    </row>
    <row r="21" customFormat="false" ht="15" hidden="false" customHeight="false" outlineLevel="0" collapsed="false">
      <c r="A21" s="12" t="n">
        <v>2014</v>
      </c>
      <c r="B21" s="11" t="s">
        <v>38</v>
      </c>
      <c r="C21" s="11" t="s">
        <v>81</v>
      </c>
      <c r="D21" s="11" t="s">
        <v>62</v>
      </c>
      <c r="E21" s="15" t="n">
        <v>0.065</v>
      </c>
      <c r="F21" s="13" t="n">
        <f aca="false">INPC_mensal!D248/INPC_mensal!D236-1</f>
        <v>0.0622826921526598</v>
      </c>
      <c r="G21" s="13" t="n">
        <f aca="false">INPC_mensal!D243/INPC_mensal!D231-1</f>
        <v>0.0633350338507268</v>
      </c>
      <c r="H21" s="14" t="n">
        <f aca="false">(1+E21)/(1+F21)-1</f>
        <v>0.00255798938212348</v>
      </c>
      <c r="I21" s="14" t="n">
        <f aca="false">(1+E21)/(1+G21)-1</f>
        <v>0.00156579638239096</v>
      </c>
      <c r="J21" s="16" t="n">
        <f aca="false">1+E21</f>
        <v>1.065</v>
      </c>
      <c r="K21" s="16" t="n">
        <f aca="false">1+F21</f>
        <v>1.06228269215266</v>
      </c>
      <c r="L21" s="16" t="n">
        <f aca="false">1+G21</f>
        <v>1.06333503385073</v>
      </c>
      <c r="M21" s="7" t="s">
        <v>85</v>
      </c>
    </row>
    <row r="22" customFormat="false" ht="15" hidden="false" customHeight="false" outlineLevel="0" collapsed="false">
      <c r="A22" s="12" t="n">
        <v>2015</v>
      </c>
      <c r="B22" s="11" t="s">
        <v>41</v>
      </c>
      <c r="C22" s="11" t="s">
        <v>81</v>
      </c>
      <c r="D22" s="11" t="s">
        <v>62</v>
      </c>
      <c r="E22" s="15" t="n">
        <v>0</v>
      </c>
      <c r="F22" s="13" t="n">
        <f aca="false">INPC_mensal!D260/INPC_mensal!D248-1</f>
        <v>0.112761661983133</v>
      </c>
      <c r="G22" s="13" t="n">
        <f aca="false">INPC_mensal!D255/INPC_mensal!D243-1</f>
        <v>0.0980522987845747</v>
      </c>
      <c r="H22" s="14" t="n">
        <f aca="false">(1+E22)/(1+F22)-1</f>
        <v>-0.101334963124244</v>
      </c>
      <c r="I22" s="14" t="n">
        <f aca="false">(1+E22)/(1+G22)-1</f>
        <v>-0.0892965652848302</v>
      </c>
      <c r="J22" s="16" t="n">
        <f aca="false">1+E22</f>
        <v>1</v>
      </c>
      <c r="K22" s="16" t="n">
        <f aca="false">1+F22</f>
        <v>1.11276166198313</v>
      </c>
      <c r="L22" s="16" t="n">
        <f aca="false">1+G22</f>
        <v>1.09805229878457</v>
      </c>
      <c r="M22" s="7" t="s">
        <v>86</v>
      </c>
    </row>
    <row r="23" customFormat="false" ht="15" hidden="false" customHeight="false" outlineLevel="0" collapsed="false">
      <c r="A23" s="12" t="n">
        <v>2016</v>
      </c>
      <c r="B23" s="11" t="s">
        <v>41</v>
      </c>
      <c r="C23" s="11" t="s">
        <v>87</v>
      </c>
      <c r="D23" s="11" t="s">
        <v>62</v>
      </c>
      <c r="E23" s="15" t="n">
        <v>0.09</v>
      </c>
      <c r="F23" s="13" t="n">
        <f aca="false">INPC_mensal!D272/INPC_mensal!D260-1</f>
        <v>0.0657996361338833</v>
      </c>
      <c r="G23" s="13" t="n">
        <f aca="false">INPC_mensal!D267/INPC_mensal!D255-1</f>
        <v>0.0955824567013317</v>
      </c>
      <c r="H23" s="14" t="n">
        <f aca="false">(1+E23)/(1+F23)-1</f>
        <v>0.02270629773707</v>
      </c>
      <c r="I23" s="14" t="n">
        <f aca="false">(1+E23)/(1+G23)-1</f>
        <v>-0.00509542359608395</v>
      </c>
      <c r="J23" s="16" t="n">
        <f aca="false">1+E23</f>
        <v>1.09</v>
      </c>
      <c r="K23" s="16" t="n">
        <f aca="false">1+F23</f>
        <v>1.06579963613388</v>
      </c>
      <c r="L23" s="16" t="n">
        <f aca="false">1+G23</f>
        <v>1.09558245670133</v>
      </c>
      <c r="M23" s="7" t="s">
        <v>88</v>
      </c>
    </row>
    <row r="24" customFormat="false" ht="15" hidden="false" customHeight="false" outlineLevel="0" collapsed="false">
      <c r="A24" s="12" t="n">
        <v>2017</v>
      </c>
      <c r="B24" s="11" t="s">
        <v>41</v>
      </c>
      <c r="C24" s="11" t="s">
        <v>87</v>
      </c>
      <c r="D24" s="11" t="s">
        <v>62</v>
      </c>
      <c r="E24" s="15" t="n">
        <v>0.0207</v>
      </c>
      <c r="F24" s="13" t="n">
        <f aca="false">INPC_mensal!D284/INPC_mensal!D272-1</f>
        <v>0.0206693096434496</v>
      </c>
      <c r="G24" s="13" t="n">
        <f aca="false">INPC_mensal!D279/INPC_mensal!D267-1</f>
        <v>0.0207755700409717</v>
      </c>
      <c r="H24" s="14" t="n">
        <f aca="false">(1+E24)/(1+F24)-1</f>
        <v>3.00688540944005E-005</v>
      </c>
      <c r="I24" s="14" t="n">
        <f aca="false">(1+E24)/(1+G24)-1</f>
        <v>-7.40319842967852E-005</v>
      </c>
      <c r="J24" s="16" t="n">
        <f aca="false">1+E24</f>
        <v>1.0207</v>
      </c>
      <c r="K24" s="16" t="n">
        <f aca="false">1+F24</f>
        <v>1.02066930964345</v>
      </c>
      <c r="L24" s="16" t="n">
        <f aca="false">1+G24</f>
        <v>1.02077557004097</v>
      </c>
      <c r="M24" s="7" t="s">
        <v>89</v>
      </c>
    </row>
    <row r="25" customFormat="false" ht="15" hidden="false" customHeight="false" outlineLevel="0" collapsed="false">
      <c r="A25" s="12" t="n">
        <v>2018</v>
      </c>
      <c r="B25" s="11" t="s">
        <v>41</v>
      </c>
      <c r="C25" s="11" t="s">
        <v>87</v>
      </c>
      <c r="D25" s="11" t="s">
        <v>62</v>
      </c>
      <c r="E25" s="15" t="n">
        <v>0.0361</v>
      </c>
      <c r="F25" s="13" t="n">
        <f aca="false">INPC_mensal!D296/INPC_mensal!D284-1</f>
        <v>0.0343395386784204</v>
      </c>
      <c r="G25" s="13" t="n">
        <f aca="false">INPC_mensal!D291/INPC_mensal!D279-1</f>
        <v>0.0361042744819131</v>
      </c>
      <c r="H25" s="14" t="n">
        <f aca="false">(1+E25)/(1+F25)-1</f>
        <v>0.00170201491458877</v>
      </c>
      <c r="I25" s="14" t="n">
        <f aca="false">(1+E25)/(1+G25)-1</f>
        <v>-4.12553255335624E-006</v>
      </c>
      <c r="J25" s="16" t="n">
        <f aca="false">1+E25</f>
        <v>1.0361</v>
      </c>
      <c r="K25" s="16" t="n">
        <f aca="false">1+F25</f>
        <v>1.03433953867842</v>
      </c>
      <c r="L25" s="16" t="n">
        <f aca="false">1+G25</f>
        <v>1.03610427448191</v>
      </c>
      <c r="M25" s="7" t="s">
        <v>90</v>
      </c>
    </row>
    <row r="26" customFormat="false" ht="15" hidden="false" customHeight="false" outlineLevel="0" collapsed="false">
      <c r="A26" s="12" t="n">
        <v>2019</v>
      </c>
      <c r="B26" s="11" t="s">
        <v>44</v>
      </c>
      <c r="C26" s="11" t="s">
        <v>44</v>
      </c>
      <c r="D26" s="11" t="s">
        <v>64</v>
      </c>
      <c r="E26" s="15" t="n">
        <v>0.03</v>
      </c>
      <c r="F26" s="13" t="n">
        <f aca="false">INPC_mensal!D308/INPC_mensal!D296-1</f>
        <v>0.0448158866335415</v>
      </c>
      <c r="G26" s="13" t="n">
        <f aca="false">INPC_mensal!D303/INPC_mensal!D291-1</f>
        <v>0.0316024584555801</v>
      </c>
      <c r="H26" s="14" t="n">
        <f aca="false">(1+E26)/(1+F26)-1</f>
        <v>-0.0141803803168414</v>
      </c>
      <c r="I26" s="14" t="n">
        <f aca="false">(1+E26)/(1+G26)-1</f>
        <v>-0.00155336820152518</v>
      </c>
      <c r="J26" s="16" t="n">
        <f aca="false">1+E26</f>
        <v>1.03</v>
      </c>
      <c r="K26" s="16" t="n">
        <f aca="false">1+F26</f>
        <v>1.04481588663354</v>
      </c>
      <c r="L26" s="16" t="n">
        <f aca="false">1+G26</f>
        <v>1.03160245845558</v>
      </c>
      <c r="M26" s="7" t="s">
        <v>91</v>
      </c>
    </row>
    <row r="27" customFormat="false" ht="15" hidden="false" customHeight="false" outlineLevel="0" collapsed="false">
      <c r="A27" s="12" t="n">
        <v>2020</v>
      </c>
      <c r="B27" s="11" t="s">
        <v>44</v>
      </c>
      <c r="C27" s="11" t="s">
        <v>44</v>
      </c>
      <c r="D27" s="11" t="s">
        <v>64</v>
      </c>
      <c r="E27" s="15" t="n">
        <v>0.026</v>
      </c>
      <c r="F27" s="13" t="n">
        <f aca="false">INPC_mensal!D320/INPC_mensal!D308-1</f>
        <v>0.0544732528052452</v>
      </c>
      <c r="G27" s="13" t="n">
        <f aca="false">INPC_mensal!D315/INPC_mensal!D303-1</f>
        <v>0.0269425004375892</v>
      </c>
      <c r="H27" s="14" t="n">
        <f aca="false">(1+E27)/(1+F27)-1</f>
        <v>-0.0270023471240233</v>
      </c>
      <c r="I27" s="14" t="n">
        <f aca="false">(1+E27)/(1+G27)-1</f>
        <v>-0.000917773329263794</v>
      </c>
      <c r="J27" s="16" t="n">
        <f aca="false">1+E27</f>
        <v>1.026</v>
      </c>
      <c r="K27" s="16" t="n">
        <f aca="false">1+F27</f>
        <v>1.05447325280525</v>
      </c>
      <c r="L27" s="16" t="n">
        <f aca="false">1+G27</f>
        <v>1.02694250043759</v>
      </c>
      <c r="M27" s="7" t="s">
        <v>92</v>
      </c>
    </row>
    <row r="28" customFormat="false" ht="15" hidden="false" customHeight="false" outlineLevel="0" collapsed="false">
      <c r="A28" s="12" t="n">
        <v>2021</v>
      </c>
      <c r="B28" s="11" t="s">
        <v>44</v>
      </c>
      <c r="C28" s="11" t="s">
        <v>44</v>
      </c>
      <c r="D28" s="11" t="s">
        <v>64</v>
      </c>
      <c r="E28" s="15" t="n">
        <v>0.0975</v>
      </c>
      <c r="F28" s="13" t="n">
        <f aca="false">INPC_mensal!D332/INPC_mensal!D320-1</f>
        <v>0.101601776728925</v>
      </c>
      <c r="G28" s="13" t="n">
        <f aca="false">INPC_mensal!D327/INPC_mensal!D315-1</f>
        <v>0.0985264716942009</v>
      </c>
      <c r="H28" s="14" t="n">
        <f aca="false">(1+E28)/(1+F28)-1</f>
        <v>-0.00372346597071149</v>
      </c>
      <c r="I28" s="14" t="n">
        <f aca="false">(1+E28)/(1+G28)-1</f>
        <v>-0.000934407791391645</v>
      </c>
      <c r="J28" s="16" t="n">
        <f aca="false">1+E28</f>
        <v>1.0975</v>
      </c>
      <c r="K28" s="16" t="n">
        <f aca="false">1+F28</f>
        <v>1.10160177672893</v>
      </c>
      <c r="L28" s="16" t="n">
        <f aca="false">1+G28</f>
        <v>1.0985264716942</v>
      </c>
      <c r="M28" s="7" t="s">
        <v>93</v>
      </c>
    </row>
    <row r="29" customFormat="false" ht="15" hidden="false" customHeight="false" outlineLevel="0" collapsed="false">
      <c r="A29" s="12" t="n">
        <v>2022</v>
      </c>
      <c r="B29" s="11" t="s">
        <v>44</v>
      </c>
      <c r="C29" s="11" t="s">
        <v>44</v>
      </c>
      <c r="D29" s="11" t="s">
        <v>62</v>
      </c>
      <c r="E29" s="15" t="n">
        <v>0.1012</v>
      </c>
      <c r="F29" s="13" t="n">
        <f aca="false">INPC_mensal!D344/INPC_mensal!D332-1</f>
        <v>0.0593235627739133</v>
      </c>
      <c r="G29" s="13" t="n">
        <f aca="false">INPC_mensal!D339/INPC_mensal!D327-1</f>
        <v>0.101248044963326</v>
      </c>
      <c r="H29" s="14" t="n">
        <f aca="false">(1+E29)/(1+F29)-1</f>
        <v>0.0395312996875385</v>
      </c>
      <c r="I29" s="14" t="n">
        <f aca="false">(1+E29)/(1+G29)-1</f>
        <v>-4.36277399494811E-005</v>
      </c>
      <c r="J29" s="16" t="n">
        <f aca="false">1+E29</f>
        <v>1.1012</v>
      </c>
      <c r="K29" s="16" t="n">
        <f aca="false">1+F29</f>
        <v>1.05932356277391</v>
      </c>
      <c r="L29" s="16" t="n">
        <f aca="false">1+G29</f>
        <v>1.10124804496333</v>
      </c>
      <c r="M29" s="7" t="s">
        <v>94</v>
      </c>
    </row>
    <row r="30" customFormat="false" ht="23.85" hidden="false" customHeight="false" outlineLevel="0" collapsed="false">
      <c r="A30" s="12" t="n">
        <v>2023</v>
      </c>
      <c r="B30" s="11" t="s">
        <v>47</v>
      </c>
      <c r="C30" s="11" t="s">
        <v>72</v>
      </c>
      <c r="D30" s="11" t="s">
        <v>62</v>
      </c>
      <c r="E30" s="17" t="n">
        <f aca="false">Mandatos!$B$3</f>
        <v>0.0318</v>
      </c>
      <c r="F30" s="13" t="n">
        <f aca="false">INPC_mensal!D356/INPC_mensal!D344-1</f>
        <v>0.0370698753750875</v>
      </c>
      <c r="G30" s="13" t="n">
        <f aca="false">INPC_mensal!D351/INPC_mensal!D339-1</f>
        <v>0.0352742274969422</v>
      </c>
      <c r="H30" s="14" t="n">
        <f aca="false">(1+E30)/(1+F30)-1</f>
        <v>-0.00508150463167345</v>
      </c>
      <c r="I30" s="14" t="n">
        <f aca="false">(1+E30)/(1+G30)-1</f>
        <v>-0.00335585239607683</v>
      </c>
      <c r="J30" s="16" t="n">
        <f aca="false">1+E30</f>
        <v>1.0318</v>
      </c>
      <c r="K30" s="16" t="n">
        <f aca="false">1+F30</f>
        <v>1.03706987537509</v>
      </c>
      <c r="L30" s="16" t="n">
        <f aca="false">1+G30</f>
        <v>1.03527422749694</v>
      </c>
      <c r="M30" s="7" t="s">
        <v>95</v>
      </c>
    </row>
    <row r="31" customFormat="false" ht="15" hidden="false" customHeight="false" outlineLevel="0" collapsed="false">
      <c r="A31" s="12" t="n">
        <v>2024</v>
      </c>
      <c r="B31" s="11" t="s">
        <v>47</v>
      </c>
      <c r="C31" s="11" t="s">
        <v>72</v>
      </c>
      <c r="D31" s="11" t="s">
        <v>62</v>
      </c>
      <c r="E31" s="15" t="n">
        <v>0.0435</v>
      </c>
      <c r="F31" s="13" t="n">
        <f aca="false">INPC_mensal!D368/INPC_mensal!D356-1</f>
        <v>0.0476793809251286</v>
      </c>
      <c r="G31" s="13" t="n">
        <f aca="false">INPC_mensal!D363/INPC_mensal!D351-1</f>
        <v>0.04060952613041</v>
      </c>
      <c r="H31" s="14" t="n">
        <f aca="false">(1+E31)/(1+F31)-1</f>
        <v>-0.00398917932453535</v>
      </c>
      <c r="I31" s="14" t="n">
        <f aca="false">(1+E31)/(1+G31)-1</f>
        <v>0.00277767385076566</v>
      </c>
      <c r="J31" s="16" t="n">
        <f aca="false">1+E31</f>
        <v>1.0435</v>
      </c>
      <c r="K31" s="16" t="n">
        <f aca="false">1+F31</f>
        <v>1.04767938092513</v>
      </c>
      <c r="L31" s="16" t="n">
        <f aca="false">1+G31</f>
        <v>1.04060952613041</v>
      </c>
      <c r="M31" s="7" t="s">
        <v>96</v>
      </c>
    </row>
    <row r="32" customFormat="false" ht="23.85" hidden="false" customHeight="false" outlineLevel="0" collapsed="false">
      <c r="A32" s="12" t="n">
        <v>2025</v>
      </c>
      <c r="B32" s="11" t="s">
        <v>47</v>
      </c>
      <c r="C32" s="11" t="s">
        <v>72</v>
      </c>
      <c r="D32" s="11" t="s">
        <v>64</v>
      </c>
      <c r="E32" s="15" t="n">
        <v>0.051</v>
      </c>
      <c r="F32" s="13" t="n">
        <f aca="false">INPC_mensal!D380/INPC_mensal!D368-1</f>
        <v>0.0389786648599548</v>
      </c>
      <c r="G32" s="13" t="n">
        <f aca="false">INPC_mensal!D375/INPC_mensal!D363-1</f>
        <v>0.0512797596442498</v>
      </c>
      <c r="H32" s="14" t="n">
        <f aca="false">(1+E32)/(1+F32)-1</f>
        <v>0.0115703387823325</v>
      </c>
      <c r="I32" s="14" t="n">
        <f aca="false">(1+E32)/(1+G32)-1</f>
        <v>-0.000266113412422664</v>
      </c>
      <c r="J32" s="16" t="n">
        <f aca="false">1+E32</f>
        <v>1.051</v>
      </c>
      <c r="K32" s="16" t="n">
        <f aca="false">1+F32</f>
        <v>1.03897866485995</v>
      </c>
      <c r="L32" s="16" t="n">
        <f aca="false">1+G32</f>
        <v>1.05127975964425</v>
      </c>
      <c r="M32" s="7" t="s">
        <v>97</v>
      </c>
    </row>
    <row r="33" customFormat="false" ht="23.85" hidden="false" customHeight="false" outlineLevel="0" collapsed="false">
      <c r="A33" s="12" t="n">
        <v>2026</v>
      </c>
      <c r="B33" s="11" t="s">
        <v>47</v>
      </c>
      <c r="C33" s="11" t="s">
        <v>72</v>
      </c>
      <c r="D33" s="11" t="s">
        <v>64</v>
      </c>
      <c r="E33" s="15" t="n">
        <v>0.0409</v>
      </c>
      <c r="F33" s="13" t="n">
        <f aca="false">INPC_mensal!D389/INPC_mensal!D380-1</f>
        <v>0.0401265852197537</v>
      </c>
      <c r="G33" s="13" t="n">
        <f aca="false">INPC_mensal!D387/INPC_mensal!D375-1</f>
        <v>0.0409804581662125</v>
      </c>
      <c r="H33" s="14" t="n">
        <f aca="false">(1+E33)/(1+F33)-1</f>
        <v>0.000743577552229313</v>
      </c>
      <c r="I33" s="14" t="n">
        <f aca="false">(1+E33)/(1+G33)-1</f>
        <v>-7.72907556346736E-005</v>
      </c>
      <c r="J33" s="16" t="n">
        <f aca="false">1+E33</f>
        <v>1.0409</v>
      </c>
      <c r="K33" s="16" t="n">
        <f aca="false">1+F33</f>
        <v>1.04012658521975</v>
      </c>
      <c r="L33" s="16" t="n">
        <f aca="false">1+G33</f>
        <v>1.04098045816621</v>
      </c>
      <c r="M33" s="7" t="s">
        <v>98</v>
      </c>
    </row>
    <row r="35" customFormat="false" ht="15" hidden="false" customHeight="false" outlineLevel="0" collapsed="false">
      <c r="A35" s="8" t="s">
        <v>99</v>
      </c>
    </row>
    <row r="36" customFormat="false" ht="15" hidden="false" customHeight="false" outlineLevel="0" collapsed="false">
      <c r="A36" s="8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6"/>
    <col collapsed="false" customWidth="true" hidden="false" outlineLevel="0" max="4" min="4" style="0" width="22"/>
  </cols>
  <sheetData>
    <row r="1" customFormat="false" ht="42" hidden="false" customHeight="true" outlineLevel="0" collapsed="false">
      <c r="A1" s="3" t="s">
        <v>52</v>
      </c>
      <c r="B1" s="3" t="s">
        <v>101</v>
      </c>
      <c r="C1" s="3" t="s">
        <v>102</v>
      </c>
      <c r="D1" s="3" t="s">
        <v>103</v>
      </c>
    </row>
    <row r="2" customFormat="false" ht="15" hidden="false" customHeight="false" outlineLevel="0" collapsed="false">
      <c r="A2" s="12" t="n">
        <v>1994</v>
      </c>
      <c r="B2" s="12" t="n">
        <v>6</v>
      </c>
      <c r="C2" s="11"/>
      <c r="D2" s="18" t="n">
        <v>100</v>
      </c>
    </row>
    <row r="3" customFormat="false" ht="15" hidden="false" customHeight="false" outlineLevel="0" collapsed="false">
      <c r="A3" s="12" t="n">
        <v>1994</v>
      </c>
      <c r="B3" s="12" t="n">
        <v>7</v>
      </c>
      <c r="C3" s="15" t="n">
        <v>0.0775</v>
      </c>
      <c r="D3" s="16" t="n">
        <f aca="false">D2*(1+C3)</f>
        <v>107.75</v>
      </c>
    </row>
    <row r="4" customFormat="false" ht="15" hidden="false" customHeight="false" outlineLevel="0" collapsed="false">
      <c r="A4" s="12" t="n">
        <v>1994</v>
      </c>
      <c r="B4" s="12" t="n">
        <v>8</v>
      </c>
      <c r="C4" s="15" t="n">
        <v>0.0185</v>
      </c>
      <c r="D4" s="16" t="n">
        <f aca="false">D3*(1+C4)</f>
        <v>109.743375</v>
      </c>
    </row>
    <row r="5" customFormat="false" ht="15" hidden="false" customHeight="false" outlineLevel="0" collapsed="false">
      <c r="A5" s="12" t="n">
        <v>1994</v>
      </c>
      <c r="B5" s="12" t="n">
        <v>9</v>
      </c>
      <c r="C5" s="15" t="n">
        <v>0.014</v>
      </c>
      <c r="D5" s="16" t="n">
        <f aca="false">D4*(1+C5)</f>
        <v>111.27978225</v>
      </c>
    </row>
    <row r="6" customFormat="false" ht="15" hidden="false" customHeight="false" outlineLevel="0" collapsed="false">
      <c r="A6" s="12" t="n">
        <v>1994</v>
      </c>
      <c r="B6" s="12" t="n">
        <v>10</v>
      </c>
      <c r="C6" s="15" t="n">
        <v>0.0282</v>
      </c>
      <c r="D6" s="16" t="n">
        <f aca="false">D5*(1+C6)</f>
        <v>114.41787210945</v>
      </c>
    </row>
    <row r="7" customFormat="false" ht="15" hidden="false" customHeight="false" outlineLevel="0" collapsed="false">
      <c r="A7" s="12" t="n">
        <v>1994</v>
      </c>
      <c r="B7" s="12" t="n">
        <v>11</v>
      </c>
      <c r="C7" s="15" t="n">
        <v>0.0296</v>
      </c>
      <c r="D7" s="16" t="n">
        <f aca="false">D6*(1+C7)</f>
        <v>117.80464112389</v>
      </c>
    </row>
    <row r="8" customFormat="false" ht="15" hidden="false" customHeight="false" outlineLevel="0" collapsed="false">
      <c r="A8" s="12" t="n">
        <v>1994</v>
      </c>
      <c r="B8" s="12" t="n">
        <v>12</v>
      </c>
      <c r="C8" s="15" t="n">
        <v>0.017</v>
      </c>
      <c r="D8" s="16" t="n">
        <f aca="false">D7*(1+C8)</f>
        <v>119.807320022996</v>
      </c>
    </row>
    <row r="9" customFormat="false" ht="15" hidden="false" customHeight="false" outlineLevel="0" collapsed="false">
      <c r="A9" s="12" t="n">
        <v>1995</v>
      </c>
      <c r="B9" s="12" t="n">
        <v>1</v>
      </c>
      <c r="C9" s="15" t="n">
        <v>0.0144</v>
      </c>
      <c r="D9" s="16" t="n">
        <f aca="false">D8*(1+C9)</f>
        <v>121.532545431327</v>
      </c>
    </row>
    <row r="10" customFormat="false" ht="15" hidden="false" customHeight="false" outlineLevel="0" collapsed="false">
      <c r="A10" s="12" t="n">
        <v>1995</v>
      </c>
      <c r="B10" s="12" t="n">
        <v>2</v>
      </c>
      <c r="C10" s="15" t="n">
        <v>0.0101</v>
      </c>
      <c r="D10" s="16" t="n">
        <f aca="false">D9*(1+C10)</f>
        <v>122.760024140183</v>
      </c>
    </row>
    <row r="11" customFormat="false" ht="15" hidden="false" customHeight="false" outlineLevel="0" collapsed="false">
      <c r="A11" s="12" t="n">
        <v>1995</v>
      </c>
      <c r="B11" s="12" t="n">
        <v>3</v>
      </c>
      <c r="C11" s="15" t="n">
        <v>0.0162</v>
      </c>
      <c r="D11" s="16" t="n">
        <f aca="false">D10*(1+C11)</f>
        <v>124.748736531254</v>
      </c>
    </row>
    <row r="12" customFormat="false" ht="15" hidden="false" customHeight="false" outlineLevel="0" collapsed="false">
      <c r="A12" s="12" t="n">
        <v>1995</v>
      </c>
      <c r="B12" s="12" t="n">
        <v>4</v>
      </c>
      <c r="C12" s="15" t="n">
        <v>0.0249</v>
      </c>
      <c r="D12" s="16" t="n">
        <f aca="false">D11*(1+C12)</f>
        <v>127.854980070883</v>
      </c>
    </row>
    <row r="13" customFormat="false" ht="15" hidden="false" customHeight="false" outlineLevel="0" collapsed="false">
      <c r="A13" s="12" t="n">
        <v>1995</v>
      </c>
      <c r="B13" s="12" t="n">
        <v>5</v>
      </c>
      <c r="C13" s="15" t="n">
        <v>0.021</v>
      </c>
      <c r="D13" s="16" t="n">
        <f aca="false">D12*(1+C13)</f>
        <v>130.539934652371</v>
      </c>
    </row>
    <row r="14" customFormat="false" ht="15" hidden="false" customHeight="false" outlineLevel="0" collapsed="false">
      <c r="A14" s="12" t="n">
        <v>1995</v>
      </c>
      <c r="B14" s="12" t="n">
        <v>6</v>
      </c>
      <c r="C14" s="15" t="n">
        <v>0.0218</v>
      </c>
      <c r="D14" s="16" t="n">
        <f aca="false">D13*(1+C14)</f>
        <v>133.385705227793</v>
      </c>
    </row>
    <row r="15" customFormat="false" ht="15" hidden="false" customHeight="false" outlineLevel="0" collapsed="false">
      <c r="A15" s="12" t="n">
        <v>1995</v>
      </c>
      <c r="B15" s="12" t="n">
        <v>7</v>
      </c>
      <c r="C15" s="15" t="n">
        <v>0.0246</v>
      </c>
      <c r="D15" s="16" t="n">
        <f aca="false">D14*(1+C15)</f>
        <v>136.666993576396</v>
      </c>
    </row>
    <row r="16" customFormat="false" ht="15" hidden="false" customHeight="false" outlineLevel="0" collapsed="false">
      <c r="A16" s="12" t="n">
        <v>1995</v>
      </c>
      <c r="B16" s="12" t="n">
        <v>8</v>
      </c>
      <c r="C16" s="15" t="n">
        <v>0.0102</v>
      </c>
      <c r="D16" s="16" t="n">
        <f aca="false">D15*(1+C16)</f>
        <v>138.060996910876</v>
      </c>
    </row>
    <row r="17" customFormat="false" ht="15" hidden="false" customHeight="false" outlineLevel="0" collapsed="false">
      <c r="A17" s="12" t="n">
        <v>1995</v>
      </c>
      <c r="B17" s="12" t="n">
        <v>9</v>
      </c>
      <c r="C17" s="15" t="n">
        <v>0.0117</v>
      </c>
      <c r="D17" s="16" t="n">
        <f aca="false">D16*(1+C17)</f>
        <v>139.676310574733</v>
      </c>
    </row>
    <row r="18" customFormat="false" ht="15" hidden="false" customHeight="false" outlineLevel="0" collapsed="false">
      <c r="A18" s="12" t="n">
        <v>1995</v>
      </c>
      <c r="B18" s="12" t="n">
        <v>10</v>
      </c>
      <c r="C18" s="15" t="n">
        <v>0.014</v>
      </c>
      <c r="D18" s="16" t="n">
        <f aca="false">D17*(1+C18)</f>
        <v>141.631778922779</v>
      </c>
    </row>
    <row r="19" customFormat="false" ht="15" hidden="false" customHeight="false" outlineLevel="0" collapsed="false">
      <c r="A19" s="12" t="n">
        <v>1995</v>
      </c>
      <c r="B19" s="12" t="n">
        <v>11</v>
      </c>
      <c r="C19" s="15" t="n">
        <v>0.0151</v>
      </c>
      <c r="D19" s="16" t="n">
        <f aca="false">D18*(1+C19)</f>
        <v>143.770418784513</v>
      </c>
    </row>
    <row r="20" customFormat="false" ht="15" hidden="false" customHeight="false" outlineLevel="0" collapsed="false">
      <c r="A20" s="12" t="n">
        <v>1995</v>
      </c>
      <c r="B20" s="12" t="n">
        <v>12</v>
      </c>
      <c r="C20" s="15" t="n">
        <v>0.0165</v>
      </c>
      <c r="D20" s="16" t="n">
        <f aca="false">D19*(1+C20)</f>
        <v>146.142630694458</v>
      </c>
    </row>
    <row r="21" customFormat="false" ht="15" hidden="false" customHeight="false" outlineLevel="0" collapsed="false">
      <c r="A21" s="12" t="n">
        <v>1996</v>
      </c>
      <c r="B21" s="12" t="n">
        <v>1</v>
      </c>
      <c r="C21" s="15" t="n">
        <v>0.0146</v>
      </c>
      <c r="D21" s="16" t="n">
        <f aca="false">D20*(1+C21)</f>
        <v>148.276313102597</v>
      </c>
    </row>
    <row r="22" customFormat="false" ht="15" hidden="false" customHeight="false" outlineLevel="0" collapsed="false">
      <c r="A22" s="12" t="n">
        <v>1996</v>
      </c>
      <c r="B22" s="12" t="n">
        <v>2</v>
      </c>
      <c r="C22" s="15" t="n">
        <v>0.0071</v>
      </c>
      <c r="D22" s="16" t="n">
        <f aca="false">D21*(1+C22)</f>
        <v>149.329074925625</v>
      </c>
    </row>
    <row r="23" customFormat="false" ht="15" hidden="false" customHeight="false" outlineLevel="0" collapsed="false">
      <c r="A23" s="12" t="n">
        <v>1996</v>
      </c>
      <c r="B23" s="12" t="n">
        <v>3</v>
      </c>
      <c r="C23" s="15" t="n">
        <v>0.0029</v>
      </c>
      <c r="D23" s="16" t="n">
        <f aca="false">D22*(1+C23)</f>
        <v>149.762129242909</v>
      </c>
    </row>
    <row r="24" customFormat="false" ht="15" hidden="false" customHeight="false" outlineLevel="0" collapsed="false">
      <c r="A24" s="12" t="n">
        <v>1996</v>
      </c>
      <c r="B24" s="12" t="n">
        <v>4</v>
      </c>
      <c r="C24" s="15" t="n">
        <v>0.0093</v>
      </c>
      <c r="D24" s="16" t="n">
        <f aca="false">D23*(1+C24)</f>
        <v>151.154917044869</v>
      </c>
    </row>
    <row r="25" customFormat="false" ht="15" hidden="false" customHeight="false" outlineLevel="0" collapsed="false">
      <c r="A25" s="12" t="n">
        <v>1996</v>
      </c>
      <c r="B25" s="12" t="n">
        <v>5</v>
      </c>
      <c r="C25" s="15" t="n">
        <v>0.0128</v>
      </c>
      <c r="D25" s="16" t="n">
        <f aca="false">D24*(1+C25)</f>
        <v>153.089699983043</v>
      </c>
    </row>
    <row r="26" customFormat="false" ht="15" hidden="false" customHeight="false" outlineLevel="0" collapsed="false">
      <c r="A26" s="12" t="n">
        <v>1996</v>
      </c>
      <c r="B26" s="12" t="n">
        <v>6</v>
      </c>
      <c r="C26" s="15" t="n">
        <v>0.0133</v>
      </c>
      <c r="D26" s="16" t="n">
        <f aca="false">D25*(1+C26)</f>
        <v>155.125792992817</v>
      </c>
    </row>
    <row r="27" customFormat="false" ht="15" hidden="false" customHeight="false" outlineLevel="0" collapsed="false">
      <c r="A27" s="12" t="n">
        <v>1996</v>
      </c>
      <c r="B27" s="12" t="n">
        <v>7</v>
      </c>
      <c r="C27" s="15" t="n">
        <v>0.012</v>
      </c>
      <c r="D27" s="16" t="n">
        <f aca="false">D26*(1+C27)</f>
        <v>156.987302508731</v>
      </c>
    </row>
    <row r="28" customFormat="false" ht="15" hidden="false" customHeight="false" outlineLevel="0" collapsed="false">
      <c r="A28" s="12" t="n">
        <v>1996</v>
      </c>
      <c r="B28" s="12" t="n">
        <v>8</v>
      </c>
      <c r="C28" s="15" t="n">
        <v>0.005</v>
      </c>
      <c r="D28" s="16" t="n">
        <f aca="false">D27*(1+C28)</f>
        <v>157.772239021275</v>
      </c>
    </row>
    <row r="29" customFormat="false" ht="15" hidden="false" customHeight="false" outlineLevel="0" collapsed="false">
      <c r="A29" s="12" t="n">
        <v>1996</v>
      </c>
      <c r="B29" s="12" t="n">
        <v>9</v>
      </c>
      <c r="C29" s="15" t="n">
        <v>0.0002</v>
      </c>
      <c r="D29" s="16" t="n">
        <f aca="false">D28*(1+C29)</f>
        <v>157.803793469079</v>
      </c>
    </row>
    <row r="30" customFormat="false" ht="15" hidden="false" customHeight="false" outlineLevel="0" collapsed="false">
      <c r="A30" s="12" t="n">
        <v>1996</v>
      </c>
      <c r="B30" s="12" t="n">
        <v>10</v>
      </c>
      <c r="C30" s="15" t="n">
        <v>0.0038</v>
      </c>
      <c r="D30" s="16" t="n">
        <f aca="false">D29*(1+C30)</f>
        <v>158.403447884261</v>
      </c>
    </row>
    <row r="31" customFormat="false" ht="15" hidden="false" customHeight="false" outlineLevel="0" collapsed="false">
      <c r="A31" s="12" t="n">
        <v>1996</v>
      </c>
      <c r="B31" s="12" t="n">
        <v>11</v>
      </c>
      <c r="C31" s="15" t="n">
        <v>0.0034</v>
      </c>
      <c r="D31" s="16" t="n">
        <f aca="false">D30*(1+C31)</f>
        <v>158.942019607068</v>
      </c>
    </row>
    <row r="32" customFormat="false" ht="15" hidden="false" customHeight="false" outlineLevel="0" collapsed="false">
      <c r="A32" s="12" t="n">
        <v>1996</v>
      </c>
      <c r="B32" s="12" t="n">
        <v>12</v>
      </c>
      <c r="C32" s="15" t="n">
        <v>0.0033</v>
      </c>
      <c r="D32" s="16" t="n">
        <f aca="false">D31*(1+C32)</f>
        <v>159.466528271771</v>
      </c>
    </row>
    <row r="33" customFormat="false" ht="15" hidden="false" customHeight="false" outlineLevel="0" collapsed="false">
      <c r="A33" s="12" t="n">
        <v>1997</v>
      </c>
      <c r="B33" s="12" t="n">
        <v>1</v>
      </c>
      <c r="C33" s="15" t="n">
        <v>0.0081</v>
      </c>
      <c r="D33" s="16" t="n">
        <f aca="false">D32*(1+C33)</f>
        <v>160.758207150773</v>
      </c>
    </row>
    <row r="34" customFormat="false" ht="15" hidden="false" customHeight="false" outlineLevel="0" collapsed="false">
      <c r="A34" s="12" t="n">
        <v>1997</v>
      </c>
      <c r="B34" s="12" t="n">
        <v>2</v>
      </c>
      <c r="C34" s="15" t="n">
        <v>0.0045</v>
      </c>
      <c r="D34" s="16" t="n">
        <f aca="false">D33*(1+C34)</f>
        <v>161.481619082951</v>
      </c>
    </row>
    <row r="35" customFormat="false" ht="15" hidden="false" customHeight="false" outlineLevel="0" collapsed="false">
      <c r="A35" s="12" t="n">
        <v>1997</v>
      </c>
      <c r="B35" s="12" t="n">
        <v>3</v>
      </c>
      <c r="C35" s="15" t="n">
        <v>0.0068</v>
      </c>
      <c r="D35" s="16" t="n">
        <f aca="false">D34*(1+C35)</f>
        <v>162.579694092715</v>
      </c>
    </row>
    <row r="36" customFormat="false" ht="15" hidden="false" customHeight="false" outlineLevel="0" collapsed="false">
      <c r="A36" s="12" t="n">
        <v>1997</v>
      </c>
      <c r="B36" s="12" t="n">
        <v>4</v>
      </c>
      <c r="C36" s="15" t="n">
        <v>0.006</v>
      </c>
      <c r="D36" s="16" t="n">
        <f aca="false">D35*(1+C36)</f>
        <v>163.555172257271</v>
      </c>
    </row>
    <row r="37" customFormat="false" ht="15" hidden="false" customHeight="false" outlineLevel="0" collapsed="false">
      <c r="A37" s="12" t="n">
        <v>1997</v>
      </c>
      <c r="B37" s="12" t="n">
        <v>5</v>
      </c>
      <c r="C37" s="15" t="n">
        <v>0.0011</v>
      </c>
      <c r="D37" s="16" t="n">
        <f aca="false">D36*(1+C37)</f>
        <v>163.735082946755</v>
      </c>
    </row>
    <row r="38" customFormat="false" ht="15" hidden="false" customHeight="false" outlineLevel="0" collapsed="false">
      <c r="A38" s="12" t="n">
        <v>1997</v>
      </c>
      <c r="B38" s="12" t="n">
        <v>6</v>
      </c>
      <c r="C38" s="15" t="n">
        <v>0.0035</v>
      </c>
      <c r="D38" s="16" t="n">
        <f aca="false">D37*(1+C38)</f>
        <v>164.308155737068</v>
      </c>
    </row>
    <row r="39" customFormat="false" ht="15" hidden="false" customHeight="false" outlineLevel="0" collapsed="false">
      <c r="A39" s="12" t="n">
        <v>1997</v>
      </c>
      <c r="B39" s="12" t="n">
        <v>7</v>
      </c>
      <c r="C39" s="15" t="n">
        <v>0.0018</v>
      </c>
      <c r="D39" s="16" t="n">
        <f aca="false">D38*(1+C39)</f>
        <v>164.603910417395</v>
      </c>
    </row>
    <row r="40" customFormat="false" ht="15" hidden="false" customHeight="false" outlineLevel="0" collapsed="false">
      <c r="A40" s="12" t="n">
        <v>1997</v>
      </c>
      <c r="B40" s="12" t="n">
        <v>8</v>
      </c>
      <c r="C40" s="15" t="n">
        <v>-0.0003</v>
      </c>
      <c r="D40" s="16" t="n">
        <f aca="false">D39*(1+C40)</f>
        <v>164.55452924427</v>
      </c>
    </row>
    <row r="41" customFormat="false" ht="15" hidden="false" customHeight="false" outlineLevel="0" collapsed="false">
      <c r="A41" s="12" t="n">
        <v>1997</v>
      </c>
      <c r="B41" s="12" t="n">
        <v>9</v>
      </c>
      <c r="C41" s="15" t="n">
        <v>0.001</v>
      </c>
      <c r="D41" s="16" t="n">
        <f aca="false">D40*(1+C41)</f>
        <v>164.719083773514</v>
      </c>
    </row>
    <row r="42" customFormat="false" ht="15" hidden="false" customHeight="false" outlineLevel="0" collapsed="false">
      <c r="A42" s="12" t="n">
        <v>1997</v>
      </c>
      <c r="B42" s="12" t="n">
        <v>10</v>
      </c>
      <c r="C42" s="15" t="n">
        <v>0.0029</v>
      </c>
      <c r="D42" s="16" t="n">
        <f aca="false">D41*(1+C42)</f>
        <v>165.196769116457</v>
      </c>
    </row>
    <row r="43" customFormat="false" ht="15" hidden="false" customHeight="false" outlineLevel="0" collapsed="false">
      <c r="A43" s="12" t="n">
        <v>1997</v>
      </c>
      <c r="B43" s="12" t="n">
        <v>11</v>
      </c>
      <c r="C43" s="15" t="n">
        <v>0.0015</v>
      </c>
      <c r="D43" s="16" t="n">
        <f aca="false">D42*(1+C43)</f>
        <v>165.444564270132</v>
      </c>
    </row>
    <row r="44" customFormat="false" ht="15" hidden="false" customHeight="false" outlineLevel="0" collapsed="false">
      <c r="A44" s="12" t="n">
        <v>1997</v>
      </c>
      <c r="B44" s="12" t="n">
        <v>12</v>
      </c>
      <c r="C44" s="15" t="n">
        <v>0.0057</v>
      </c>
      <c r="D44" s="16" t="n">
        <f aca="false">D43*(1+C44)</f>
        <v>166.387598286472</v>
      </c>
    </row>
    <row r="45" customFormat="false" ht="15" hidden="false" customHeight="false" outlineLevel="0" collapsed="false">
      <c r="A45" s="12" t="n">
        <v>1998</v>
      </c>
      <c r="B45" s="12" t="n">
        <v>1</v>
      </c>
      <c r="C45" s="15" t="n">
        <v>0.0085</v>
      </c>
      <c r="D45" s="16" t="n">
        <f aca="false">D44*(1+C45)</f>
        <v>167.801892871907</v>
      </c>
    </row>
    <row r="46" customFormat="false" ht="15" hidden="false" customHeight="false" outlineLevel="0" collapsed="false">
      <c r="A46" s="12" t="n">
        <v>1998</v>
      </c>
      <c r="B46" s="12" t="n">
        <v>2</v>
      </c>
      <c r="C46" s="15" t="n">
        <v>0.0054</v>
      </c>
      <c r="D46" s="16" t="n">
        <f aca="false">D45*(1+C46)</f>
        <v>168.708023093415</v>
      </c>
    </row>
    <row r="47" customFormat="false" ht="15" hidden="false" customHeight="false" outlineLevel="0" collapsed="false">
      <c r="A47" s="12" t="n">
        <v>1998</v>
      </c>
      <c r="B47" s="12" t="n">
        <v>3</v>
      </c>
      <c r="C47" s="15" t="n">
        <v>0.0049</v>
      </c>
      <c r="D47" s="16" t="n">
        <f aca="false">D46*(1+C47)</f>
        <v>169.534692406573</v>
      </c>
    </row>
    <row r="48" customFormat="false" ht="15" hidden="false" customHeight="false" outlineLevel="0" collapsed="false">
      <c r="A48" s="12" t="n">
        <v>1998</v>
      </c>
      <c r="B48" s="12" t="n">
        <v>4</v>
      </c>
      <c r="C48" s="15" t="n">
        <v>0.0045</v>
      </c>
      <c r="D48" s="16" t="n">
        <f aca="false">D47*(1+C48)</f>
        <v>170.297598522402</v>
      </c>
    </row>
    <row r="49" customFormat="false" ht="15" hidden="false" customHeight="false" outlineLevel="0" collapsed="false">
      <c r="A49" s="12" t="n">
        <v>1998</v>
      </c>
      <c r="B49" s="12" t="n">
        <v>5</v>
      </c>
      <c r="C49" s="15" t="n">
        <v>0.0072</v>
      </c>
      <c r="D49" s="16" t="n">
        <f aca="false">D48*(1+C49)</f>
        <v>171.523741231763</v>
      </c>
    </row>
    <row r="50" customFormat="false" ht="15" hidden="false" customHeight="false" outlineLevel="0" collapsed="false">
      <c r="A50" s="12" t="n">
        <v>1998</v>
      </c>
      <c r="B50" s="12" t="n">
        <v>6</v>
      </c>
      <c r="C50" s="15" t="n">
        <v>0.0015</v>
      </c>
      <c r="D50" s="16" t="n">
        <f aca="false">D49*(1+C50)</f>
        <v>171.781026843611</v>
      </c>
    </row>
    <row r="51" customFormat="false" ht="15" hidden="false" customHeight="false" outlineLevel="0" collapsed="false">
      <c r="A51" s="12" t="n">
        <v>1998</v>
      </c>
      <c r="B51" s="12" t="n">
        <v>7</v>
      </c>
      <c r="C51" s="15" t="n">
        <v>-0.0028</v>
      </c>
      <c r="D51" s="16" t="n">
        <f aca="false">D50*(1+C51)</f>
        <v>171.300039968449</v>
      </c>
    </row>
    <row r="52" customFormat="false" ht="15" hidden="false" customHeight="false" outlineLevel="0" collapsed="false">
      <c r="A52" s="12" t="n">
        <v>1998</v>
      </c>
      <c r="B52" s="12" t="n">
        <v>8</v>
      </c>
      <c r="C52" s="15" t="n">
        <v>-0.0049</v>
      </c>
      <c r="D52" s="16" t="n">
        <f aca="false">D51*(1+C52)</f>
        <v>170.460669772604</v>
      </c>
    </row>
    <row r="53" customFormat="false" ht="15" hidden="false" customHeight="false" outlineLevel="0" collapsed="false">
      <c r="A53" s="12" t="n">
        <v>1998</v>
      </c>
      <c r="B53" s="12" t="n">
        <v>9</v>
      </c>
      <c r="C53" s="15" t="n">
        <v>-0.0031</v>
      </c>
      <c r="D53" s="16" t="n">
        <f aca="false">D52*(1+C53)</f>
        <v>169.932241696309</v>
      </c>
    </row>
    <row r="54" customFormat="false" ht="15" hidden="false" customHeight="false" outlineLevel="0" collapsed="false">
      <c r="A54" s="12" t="n">
        <v>1998</v>
      </c>
      <c r="B54" s="12" t="n">
        <v>10</v>
      </c>
      <c r="C54" s="15" t="n">
        <v>0.0011</v>
      </c>
      <c r="D54" s="16" t="n">
        <f aca="false">D53*(1+C54)</f>
        <v>170.119167162174</v>
      </c>
    </row>
    <row r="55" customFormat="false" ht="15" hidden="false" customHeight="false" outlineLevel="0" collapsed="false">
      <c r="A55" s="12" t="n">
        <v>1998</v>
      </c>
      <c r="B55" s="12" t="n">
        <v>11</v>
      </c>
      <c r="C55" s="15" t="n">
        <v>-0.0018</v>
      </c>
      <c r="D55" s="16" t="n">
        <f aca="false">D54*(1+C55)</f>
        <v>169.812952661283</v>
      </c>
    </row>
    <row r="56" customFormat="false" ht="15" hidden="false" customHeight="false" outlineLevel="0" collapsed="false">
      <c r="A56" s="12" t="n">
        <v>1998</v>
      </c>
      <c r="B56" s="12" t="n">
        <v>12</v>
      </c>
      <c r="C56" s="15" t="n">
        <v>0.0042</v>
      </c>
      <c r="D56" s="16" t="n">
        <f aca="false">D55*(1+C56)</f>
        <v>170.52616706246</v>
      </c>
    </row>
    <row r="57" customFormat="false" ht="15" hidden="false" customHeight="false" outlineLevel="0" collapsed="false">
      <c r="A57" s="12" t="n">
        <v>1999</v>
      </c>
      <c r="B57" s="12" t="n">
        <v>1</v>
      </c>
      <c r="C57" s="15" t="n">
        <v>0.0065</v>
      </c>
      <c r="D57" s="16" t="n">
        <f aca="false">D56*(1+C57)</f>
        <v>171.634587148366</v>
      </c>
    </row>
    <row r="58" customFormat="false" ht="15" hidden="false" customHeight="false" outlineLevel="0" collapsed="false">
      <c r="A58" s="12" t="n">
        <v>1999</v>
      </c>
      <c r="B58" s="12" t="n">
        <v>2</v>
      </c>
      <c r="C58" s="15" t="n">
        <v>0.0129</v>
      </c>
      <c r="D58" s="16" t="n">
        <f aca="false">D57*(1+C58)</f>
        <v>173.84867332258</v>
      </c>
    </row>
    <row r="59" customFormat="false" ht="15" hidden="false" customHeight="false" outlineLevel="0" collapsed="false">
      <c r="A59" s="12" t="n">
        <v>1999</v>
      </c>
      <c r="B59" s="12" t="n">
        <v>3</v>
      </c>
      <c r="C59" s="15" t="n">
        <v>0.0128</v>
      </c>
      <c r="D59" s="16" t="n">
        <f aca="false">D58*(1+C59)</f>
        <v>176.073936341109</v>
      </c>
    </row>
    <row r="60" customFormat="false" ht="15" hidden="false" customHeight="false" outlineLevel="0" collapsed="false">
      <c r="A60" s="12" t="n">
        <v>1999</v>
      </c>
      <c r="B60" s="12" t="n">
        <v>4</v>
      </c>
      <c r="C60" s="15" t="n">
        <v>0.0047</v>
      </c>
      <c r="D60" s="16" t="n">
        <f aca="false">D59*(1+C60)</f>
        <v>176.901483841912</v>
      </c>
    </row>
    <row r="61" customFormat="false" ht="15" hidden="false" customHeight="false" outlineLevel="0" collapsed="false">
      <c r="A61" s="12" t="n">
        <v>1999</v>
      </c>
      <c r="B61" s="12" t="n">
        <v>5</v>
      </c>
      <c r="C61" s="15" t="n">
        <v>0.0005</v>
      </c>
      <c r="D61" s="16" t="n">
        <f aca="false">D60*(1+C61)</f>
        <v>176.989934583833</v>
      </c>
    </row>
    <row r="62" customFormat="false" ht="15" hidden="false" customHeight="false" outlineLevel="0" collapsed="false">
      <c r="A62" s="12" t="n">
        <v>1999</v>
      </c>
      <c r="B62" s="12" t="n">
        <v>6</v>
      </c>
      <c r="C62" s="15" t="n">
        <v>0.0007</v>
      </c>
      <c r="D62" s="16" t="n">
        <f aca="false">D61*(1+C62)</f>
        <v>177.113827538042</v>
      </c>
    </row>
    <row r="63" customFormat="false" ht="15" hidden="false" customHeight="false" outlineLevel="0" collapsed="false">
      <c r="A63" s="12" t="n">
        <v>1999</v>
      </c>
      <c r="B63" s="12" t="n">
        <v>7</v>
      </c>
      <c r="C63" s="15" t="n">
        <v>0.0074</v>
      </c>
      <c r="D63" s="16" t="n">
        <f aca="false">D62*(1+C63)</f>
        <v>178.424469861823</v>
      </c>
    </row>
    <row r="64" customFormat="false" ht="15" hidden="false" customHeight="false" outlineLevel="0" collapsed="false">
      <c r="A64" s="12" t="n">
        <v>1999</v>
      </c>
      <c r="B64" s="12" t="n">
        <v>8</v>
      </c>
      <c r="C64" s="15" t="n">
        <v>0.0055</v>
      </c>
      <c r="D64" s="16" t="n">
        <f aca="false">D63*(1+C64)</f>
        <v>179.405804446063</v>
      </c>
    </row>
    <row r="65" customFormat="false" ht="15" hidden="false" customHeight="false" outlineLevel="0" collapsed="false">
      <c r="A65" s="12" t="n">
        <v>1999</v>
      </c>
      <c r="B65" s="12" t="n">
        <v>9</v>
      </c>
      <c r="C65" s="15" t="n">
        <v>0.0039</v>
      </c>
      <c r="D65" s="16" t="n">
        <f aca="false">D64*(1+C65)</f>
        <v>180.105487083403</v>
      </c>
    </row>
    <row r="66" customFormat="false" ht="15" hidden="false" customHeight="false" outlineLevel="0" collapsed="false">
      <c r="A66" s="12" t="n">
        <v>1999</v>
      </c>
      <c r="B66" s="12" t="n">
        <v>10</v>
      </c>
      <c r="C66" s="15" t="n">
        <v>0.0096</v>
      </c>
      <c r="D66" s="16" t="n">
        <f aca="false">D65*(1+C66)</f>
        <v>181.834499759404</v>
      </c>
    </row>
    <row r="67" customFormat="false" ht="15" hidden="false" customHeight="false" outlineLevel="0" collapsed="false">
      <c r="A67" s="12" t="n">
        <v>1999</v>
      </c>
      <c r="B67" s="12" t="n">
        <v>11</v>
      </c>
      <c r="C67" s="15" t="n">
        <v>0.0094</v>
      </c>
      <c r="D67" s="16" t="n">
        <f aca="false">D66*(1+C67)</f>
        <v>183.543744057142</v>
      </c>
    </row>
    <row r="68" customFormat="false" ht="15" hidden="false" customHeight="false" outlineLevel="0" collapsed="false">
      <c r="A68" s="12" t="n">
        <v>1999</v>
      </c>
      <c r="B68" s="12" t="n">
        <v>12</v>
      </c>
      <c r="C68" s="15" t="n">
        <v>0.0074</v>
      </c>
      <c r="D68" s="16" t="n">
        <f aca="false">D67*(1+C68)</f>
        <v>184.901967763165</v>
      </c>
    </row>
    <row r="69" customFormat="false" ht="15" hidden="false" customHeight="false" outlineLevel="0" collapsed="false">
      <c r="A69" s="12" t="n">
        <v>2000</v>
      </c>
      <c r="B69" s="12" t="n">
        <v>1</v>
      </c>
      <c r="C69" s="15" t="n">
        <v>0.0061</v>
      </c>
      <c r="D69" s="16" t="n">
        <f aca="false">D68*(1+C69)</f>
        <v>186.02986976652</v>
      </c>
    </row>
    <row r="70" customFormat="false" ht="15" hidden="false" customHeight="false" outlineLevel="0" collapsed="false">
      <c r="A70" s="12" t="n">
        <v>2000</v>
      </c>
      <c r="B70" s="12" t="n">
        <v>2</v>
      </c>
      <c r="C70" s="15" t="n">
        <v>0.0005</v>
      </c>
      <c r="D70" s="16" t="n">
        <f aca="false">D69*(1+C70)</f>
        <v>186.122884701403</v>
      </c>
    </row>
    <row r="71" customFormat="false" ht="15" hidden="false" customHeight="false" outlineLevel="0" collapsed="false">
      <c r="A71" s="12" t="n">
        <v>2000</v>
      </c>
      <c r="B71" s="12" t="n">
        <v>3</v>
      </c>
      <c r="C71" s="15" t="n">
        <v>0.0013</v>
      </c>
      <c r="D71" s="16" t="n">
        <f aca="false">D70*(1+C71)</f>
        <v>186.364844451515</v>
      </c>
    </row>
    <row r="72" customFormat="false" ht="15" hidden="false" customHeight="false" outlineLevel="0" collapsed="false">
      <c r="A72" s="12" t="n">
        <v>2000</v>
      </c>
      <c r="B72" s="12" t="n">
        <v>4</v>
      </c>
      <c r="C72" s="15" t="n">
        <v>0.0009</v>
      </c>
      <c r="D72" s="16" t="n">
        <f aca="false">D71*(1+C72)</f>
        <v>186.532572811522</v>
      </c>
    </row>
    <row r="73" customFormat="false" ht="15" hidden="false" customHeight="false" outlineLevel="0" collapsed="false">
      <c r="A73" s="12" t="n">
        <v>2000</v>
      </c>
      <c r="B73" s="12" t="n">
        <v>5</v>
      </c>
      <c r="C73" s="15" t="n">
        <v>-0.0005</v>
      </c>
      <c r="D73" s="16" t="n">
        <f aca="false">D72*(1+C73)</f>
        <v>186.439306525116</v>
      </c>
    </row>
    <row r="74" customFormat="false" ht="15" hidden="false" customHeight="false" outlineLevel="0" collapsed="false">
      <c r="A74" s="12" t="n">
        <v>2000</v>
      </c>
      <c r="B74" s="12" t="n">
        <v>6</v>
      </c>
      <c r="C74" s="15" t="n">
        <v>0.003</v>
      </c>
      <c r="D74" s="16" t="n">
        <f aca="false">D73*(1+C74)</f>
        <v>186.998624444691</v>
      </c>
    </row>
    <row r="75" customFormat="false" ht="15" hidden="false" customHeight="false" outlineLevel="0" collapsed="false">
      <c r="A75" s="12" t="n">
        <v>2000</v>
      </c>
      <c r="B75" s="12" t="n">
        <v>7</v>
      </c>
      <c r="C75" s="15" t="n">
        <v>0.0139</v>
      </c>
      <c r="D75" s="16" t="n">
        <f aca="false">D74*(1+C75)</f>
        <v>189.597905324472</v>
      </c>
    </row>
    <row r="76" customFormat="false" ht="15" hidden="false" customHeight="false" outlineLevel="0" collapsed="false">
      <c r="A76" s="12" t="n">
        <v>2000</v>
      </c>
      <c r="B76" s="12" t="n">
        <v>8</v>
      </c>
      <c r="C76" s="15" t="n">
        <v>0.0121</v>
      </c>
      <c r="D76" s="16" t="n">
        <f aca="false">D75*(1+C76)</f>
        <v>191.892039978898</v>
      </c>
    </row>
    <row r="77" customFormat="false" ht="15" hidden="false" customHeight="false" outlineLevel="0" collapsed="false">
      <c r="A77" s="12" t="n">
        <v>2000</v>
      </c>
      <c r="B77" s="12" t="n">
        <v>9</v>
      </c>
      <c r="C77" s="15" t="n">
        <v>0.0043</v>
      </c>
      <c r="D77" s="16" t="n">
        <f aca="false">D76*(1+C77)</f>
        <v>192.717175750808</v>
      </c>
    </row>
    <row r="78" customFormat="false" ht="15" hidden="false" customHeight="false" outlineLevel="0" collapsed="false">
      <c r="A78" s="12" t="n">
        <v>2000</v>
      </c>
      <c r="B78" s="12" t="n">
        <v>10</v>
      </c>
      <c r="C78" s="15" t="n">
        <v>0.0016</v>
      </c>
      <c r="D78" s="16" t="n">
        <f aca="false">D77*(1+C78)</f>
        <v>193.025523232009</v>
      </c>
    </row>
    <row r="79" customFormat="false" ht="15" hidden="false" customHeight="false" outlineLevel="0" collapsed="false">
      <c r="A79" s="12" t="n">
        <v>2000</v>
      </c>
      <c r="B79" s="12" t="n">
        <v>11</v>
      </c>
      <c r="C79" s="15" t="n">
        <v>0.0029</v>
      </c>
      <c r="D79" s="16" t="n">
        <f aca="false">D78*(1+C79)</f>
        <v>193.585297249382</v>
      </c>
    </row>
    <row r="80" customFormat="false" ht="15" hidden="false" customHeight="false" outlineLevel="0" collapsed="false">
      <c r="A80" s="12" t="n">
        <v>2000</v>
      </c>
      <c r="B80" s="12" t="n">
        <v>12</v>
      </c>
      <c r="C80" s="15" t="n">
        <v>0.0055</v>
      </c>
      <c r="D80" s="16" t="n">
        <f aca="false">D79*(1+C80)</f>
        <v>194.650016384253</v>
      </c>
    </row>
    <row r="81" customFormat="false" ht="15" hidden="false" customHeight="false" outlineLevel="0" collapsed="false">
      <c r="A81" s="12" t="n">
        <v>2001</v>
      </c>
      <c r="B81" s="12" t="n">
        <v>1</v>
      </c>
      <c r="C81" s="15" t="n">
        <v>0.0077</v>
      </c>
      <c r="D81" s="16" t="n">
        <f aca="false">D80*(1+C81)</f>
        <v>196.148821510412</v>
      </c>
    </row>
    <row r="82" customFormat="false" ht="15" hidden="false" customHeight="false" outlineLevel="0" collapsed="false">
      <c r="A82" s="12" t="n">
        <v>2001</v>
      </c>
      <c r="B82" s="12" t="n">
        <v>2</v>
      </c>
      <c r="C82" s="15" t="n">
        <v>0.0049</v>
      </c>
      <c r="D82" s="16" t="n">
        <f aca="false">D81*(1+C82)</f>
        <v>197.109950735813</v>
      </c>
    </row>
    <row r="83" customFormat="false" ht="15" hidden="false" customHeight="false" outlineLevel="0" collapsed="false">
      <c r="A83" s="12" t="n">
        <v>2001</v>
      </c>
      <c r="B83" s="12" t="n">
        <v>3</v>
      </c>
      <c r="C83" s="15" t="n">
        <v>0.0048</v>
      </c>
      <c r="D83" s="16" t="n">
        <f aca="false">D82*(1+C83)</f>
        <v>198.056078499345</v>
      </c>
    </row>
    <row r="84" customFormat="false" ht="15" hidden="false" customHeight="false" outlineLevel="0" collapsed="false">
      <c r="A84" s="12" t="n">
        <v>2001</v>
      </c>
      <c r="B84" s="12" t="n">
        <v>4</v>
      </c>
      <c r="C84" s="15" t="n">
        <v>0.0084</v>
      </c>
      <c r="D84" s="16" t="n">
        <f aca="false">D83*(1+C84)</f>
        <v>199.71974955874</v>
      </c>
    </row>
    <row r="85" customFormat="false" ht="15" hidden="false" customHeight="false" outlineLevel="0" collapsed="false">
      <c r="A85" s="12" t="n">
        <v>2001</v>
      </c>
      <c r="B85" s="12" t="n">
        <v>5</v>
      </c>
      <c r="C85" s="15" t="n">
        <v>0.0057</v>
      </c>
      <c r="D85" s="16" t="n">
        <f aca="false">D84*(1+C85)</f>
        <v>200.858152131224</v>
      </c>
    </row>
    <row r="86" customFormat="false" ht="15" hidden="false" customHeight="false" outlineLevel="0" collapsed="false">
      <c r="A86" s="12" t="n">
        <v>2001</v>
      </c>
      <c r="B86" s="12" t="n">
        <v>6</v>
      </c>
      <c r="C86" s="15" t="n">
        <v>0.006</v>
      </c>
      <c r="D86" s="16" t="n">
        <f aca="false">D85*(1+C86)</f>
        <v>202.063301044012</v>
      </c>
    </row>
    <row r="87" customFormat="false" ht="15" hidden="false" customHeight="false" outlineLevel="0" collapsed="false">
      <c r="A87" s="12" t="n">
        <v>2001</v>
      </c>
      <c r="B87" s="12" t="n">
        <v>7</v>
      </c>
      <c r="C87" s="15" t="n">
        <v>0.0111</v>
      </c>
      <c r="D87" s="16" t="n">
        <f aca="false">D86*(1+C87)</f>
        <v>204.3062036856</v>
      </c>
    </row>
    <row r="88" customFormat="false" ht="15" hidden="false" customHeight="false" outlineLevel="0" collapsed="false">
      <c r="A88" s="12" t="n">
        <v>2001</v>
      </c>
      <c r="B88" s="12" t="n">
        <v>8</v>
      </c>
      <c r="C88" s="15" t="n">
        <v>0.0079</v>
      </c>
      <c r="D88" s="16" t="n">
        <f aca="false">D87*(1+C88)</f>
        <v>205.920222694717</v>
      </c>
    </row>
    <row r="89" customFormat="false" ht="15" hidden="false" customHeight="false" outlineLevel="0" collapsed="false">
      <c r="A89" s="12" t="n">
        <v>2001</v>
      </c>
      <c r="B89" s="12" t="n">
        <v>9</v>
      </c>
      <c r="C89" s="15" t="n">
        <v>0.0044</v>
      </c>
      <c r="D89" s="16" t="n">
        <f aca="false">D88*(1+C89)</f>
        <v>206.826271674573</v>
      </c>
    </row>
    <row r="90" customFormat="false" ht="15" hidden="false" customHeight="false" outlineLevel="0" collapsed="false">
      <c r="A90" s="12" t="n">
        <v>2001</v>
      </c>
      <c r="B90" s="12" t="n">
        <v>10</v>
      </c>
      <c r="C90" s="15" t="n">
        <v>0.0094</v>
      </c>
      <c r="D90" s="16" t="n">
        <f aca="false">D89*(1+C90)</f>
        <v>208.770438628314</v>
      </c>
    </row>
    <row r="91" customFormat="false" ht="15" hidden="false" customHeight="false" outlineLevel="0" collapsed="false">
      <c r="A91" s="12" t="n">
        <v>2001</v>
      </c>
      <c r="B91" s="12" t="n">
        <v>11</v>
      </c>
      <c r="C91" s="15" t="n">
        <v>0.0129</v>
      </c>
      <c r="D91" s="16" t="n">
        <f aca="false">D90*(1+C91)</f>
        <v>211.46357728662</v>
      </c>
    </row>
    <row r="92" customFormat="false" ht="15" hidden="false" customHeight="false" outlineLevel="0" collapsed="false">
      <c r="A92" s="12" t="n">
        <v>2001</v>
      </c>
      <c r="B92" s="12" t="n">
        <v>12</v>
      </c>
      <c r="C92" s="15" t="n">
        <v>0.0074</v>
      </c>
      <c r="D92" s="16" t="n">
        <f aca="false">D91*(1+C92)</f>
        <v>213.028407758541</v>
      </c>
    </row>
    <row r="93" customFormat="false" ht="15" hidden="false" customHeight="false" outlineLevel="0" collapsed="false">
      <c r="A93" s="12" t="n">
        <v>2002</v>
      </c>
      <c r="B93" s="12" t="n">
        <v>1</v>
      </c>
      <c r="C93" s="15" t="n">
        <v>0.0107</v>
      </c>
      <c r="D93" s="16" t="n">
        <f aca="false">D92*(1+C93)</f>
        <v>215.307811721557</v>
      </c>
    </row>
    <row r="94" customFormat="false" ht="15" hidden="false" customHeight="false" outlineLevel="0" collapsed="false">
      <c r="A94" s="12" t="n">
        <v>2002</v>
      </c>
      <c r="B94" s="12" t="n">
        <v>2</v>
      </c>
      <c r="C94" s="15" t="n">
        <v>0.0031</v>
      </c>
      <c r="D94" s="16" t="n">
        <f aca="false">D93*(1+C94)</f>
        <v>215.975265937894</v>
      </c>
    </row>
    <row r="95" customFormat="false" ht="15" hidden="false" customHeight="false" outlineLevel="0" collapsed="false">
      <c r="A95" s="12" t="n">
        <v>2002</v>
      </c>
      <c r="B95" s="12" t="n">
        <v>3</v>
      </c>
      <c r="C95" s="15" t="n">
        <v>0.0062</v>
      </c>
      <c r="D95" s="16" t="n">
        <f aca="false">D94*(1+C95)</f>
        <v>217.314312586709</v>
      </c>
    </row>
    <row r="96" customFormat="false" ht="15" hidden="false" customHeight="false" outlineLevel="0" collapsed="false">
      <c r="A96" s="12" t="n">
        <v>2002</v>
      </c>
      <c r="B96" s="12" t="n">
        <v>4</v>
      </c>
      <c r="C96" s="15" t="n">
        <v>0.0068</v>
      </c>
      <c r="D96" s="16" t="n">
        <f aca="false">D95*(1+C96)</f>
        <v>218.792049912298</v>
      </c>
    </row>
    <row r="97" customFormat="false" ht="15" hidden="false" customHeight="false" outlineLevel="0" collapsed="false">
      <c r="A97" s="12" t="n">
        <v>2002</v>
      </c>
      <c r="B97" s="12" t="n">
        <v>5</v>
      </c>
      <c r="C97" s="15" t="n">
        <v>0.0009</v>
      </c>
      <c r="D97" s="16" t="n">
        <f aca="false">D96*(1+C97)</f>
        <v>218.988962757219</v>
      </c>
    </row>
    <row r="98" customFormat="false" ht="15" hidden="false" customHeight="false" outlineLevel="0" collapsed="false">
      <c r="A98" s="12" t="n">
        <v>2002</v>
      </c>
      <c r="B98" s="12" t="n">
        <v>6</v>
      </c>
      <c r="C98" s="15" t="n">
        <v>0.0061</v>
      </c>
      <c r="D98" s="16" t="n">
        <f aca="false">D97*(1+C98)</f>
        <v>220.324795430038</v>
      </c>
    </row>
    <row r="99" customFormat="false" ht="15" hidden="false" customHeight="false" outlineLevel="0" collapsed="false">
      <c r="A99" s="12" t="n">
        <v>2002</v>
      </c>
      <c r="B99" s="12" t="n">
        <v>7</v>
      </c>
      <c r="C99" s="15" t="n">
        <v>0.0115</v>
      </c>
      <c r="D99" s="16" t="n">
        <f aca="false">D98*(1+C99)</f>
        <v>222.858530577484</v>
      </c>
    </row>
    <row r="100" customFormat="false" ht="15" hidden="false" customHeight="false" outlineLevel="0" collapsed="false">
      <c r="A100" s="12" t="n">
        <v>2002</v>
      </c>
      <c r="B100" s="12" t="n">
        <v>8</v>
      </c>
      <c r="C100" s="15" t="n">
        <v>0.0086</v>
      </c>
      <c r="D100" s="16" t="n">
        <f aca="false">D99*(1+C100)</f>
        <v>224.77511394045</v>
      </c>
    </row>
    <row r="101" customFormat="false" ht="15" hidden="false" customHeight="false" outlineLevel="0" collapsed="false">
      <c r="A101" s="12" t="n">
        <v>2002</v>
      </c>
      <c r="B101" s="12" t="n">
        <v>9</v>
      </c>
      <c r="C101" s="15" t="n">
        <v>0.0083</v>
      </c>
      <c r="D101" s="16" t="n">
        <f aca="false">D100*(1+C101)</f>
        <v>226.640747386156</v>
      </c>
    </row>
    <row r="102" customFormat="false" ht="15" hidden="false" customHeight="false" outlineLevel="0" collapsed="false">
      <c r="A102" s="12" t="n">
        <v>2002</v>
      </c>
      <c r="B102" s="12" t="n">
        <v>10</v>
      </c>
      <c r="C102" s="15" t="n">
        <v>0.0157</v>
      </c>
      <c r="D102" s="16" t="n">
        <f aca="false">D101*(1+C102)</f>
        <v>230.199007120119</v>
      </c>
    </row>
    <row r="103" customFormat="false" ht="15" hidden="false" customHeight="false" outlineLevel="0" collapsed="false">
      <c r="A103" s="12" t="n">
        <v>2002</v>
      </c>
      <c r="B103" s="12" t="n">
        <v>11</v>
      </c>
      <c r="C103" s="15" t="n">
        <v>0.0339</v>
      </c>
      <c r="D103" s="16" t="n">
        <f aca="false">D102*(1+C103)</f>
        <v>238.002753461491</v>
      </c>
    </row>
    <row r="104" customFormat="false" ht="15" hidden="false" customHeight="false" outlineLevel="0" collapsed="false">
      <c r="A104" s="12" t="n">
        <v>2002</v>
      </c>
      <c r="B104" s="12" t="n">
        <v>12</v>
      </c>
      <c r="C104" s="15" t="n">
        <v>0.027</v>
      </c>
      <c r="D104" s="16" t="n">
        <f aca="false">D103*(1+C104)</f>
        <v>244.428827804951</v>
      </c>
    </row>
    <row r="105" customFormat="false" ht="15" hidden="false" customHeight="false" outlineLevel="0" collapsed="false">
      <c r="A105" s="12" t="n">
        <v>2003</v>
      </c>
      <c r="B105" s="12" t="n">
        <v>1</v>
      </c>
      <c r="C105" s="15" t="n">
        <v>0.0247</v>
      </c>
      <c r="D105" s="16" t="n">
        <f aca="false">D104*(1+C105)</f>
        <v>250.466219851733</v>
      </c>
    </row>
    <row r="106" customFormat="false" ht="15" hidden="false" customHeight="false" outlineLevel="0" collapsed="false">
      <c r="A106" s="12" t="n">
        <v>2003</v>
      </c>
      <c r="B106" s="12" t="n">
        <v>2</v>
      </c>
      <c r="C106" s="15" t="n">
        <v>0.0146</v>
      </c>
      <c r="D106" s="16" t="n">
        <f aca="false">D105*(1+C106)</f>
        <v>254.123026661568</v>
      </c>
    </row>
    <row r="107" customFormat="false" ht="15" hidden="false" customHeight="false" outlineLevel="0" collapsed="false">
      <c r="A107" s="12" t="n">
        <v>2003</v>
      </c>
      <c r="B107" s="12" t="n">
        <v>3</v>
      </c>
      <c r="C107" s="15" t="n">
        <v>0.0137</v>
      </c>
      <c r="D107" s="16" t="n">
        <f aca="false">D106*(1+C107)</f>
        <v>257.604512126832</v>
      </c>
    </row>
    <row r="108" customFormat="false" ht="15" hidden="false" customHeight="false" outlineLevel="0" collapsed="false">
      <c r="A108" s="12" t="n">
        <v>2003</v>
      </c>
      <c r="B108" s="12" t="n">
        <v>4</v>
      </c>
      <c r="C108" s="15" t="n">
        <v>0.0138</v>
      </c>
      <c r="D108" s="16" t="n">
        <f aca="false">D107*(1+C108)</f>
        <v>261.159454394182</v>
      </c>
    </row>
    <row r="109" customFormat="false" ht="15" hidden="false" customHeight="false" outlineLevel="0" collapsed="false">
      <c r="A109" s="12" t="n">
        <v>2003</v>
      </c>
      <c r="B109" s="12" t="n">
        <v>5</v>
      </c>
      <c r="C109" s="15" t="n">
        <v>0.0099</v>
      </c>
      <c r="D109" s="16" t="n">
        <f aca="false">D108*(1+C109)</f>
        <v>263.744932992685</v>
      </c>
    </row>
    <row r="110" customFormat="false" ht="15" hidden="false" customHeight="false" outlineLevel="0" collapsed="false">
      <c r="A110" s="12" t="n">
        <v>2003</v>
      </c>
      <c r="B110" s="12" t="n">
        <v>6</v>
      </c>
      <c r="C110" s="15" t="n">
        <v>-0.0006</v>
      </c>
      <c r="D110" s="16" t="n">
        <f aca="false">D109*(1+C110)</f>
        <v>263.586686032889</v>
      </c>
    </row>
    <row r="111" customFormat="false" ht="15" hidden="false" customHeight="false" outlineLevel="0" collapsed="false">
      <c r="A111" s="12" t="n">
        <v>2003</v>
      </c>
      <c r="B111" s="12" t="n">
        <v>7</v>
      </c>
      <c r="C111" s="15" t="n">
        <v>0.0004</v>
      </c>
      <c r="D111" s="16" t="n">
        <f aca="false">D110*(1+C111)</f>
        <v>263.692120707302</v>
      </c>
    </row>
    <row r="112" customFormat="false" ht="15" hidden="false" customHeight="false" outlineLevel="0" collapsed="false">
      <c r="A112" s="12" t="n">
        <v>2003</v>
      </c>
      <c r="B112" s="12" t="n">
        <v>8</v>
      </c>
      <c r="C112" s="15" t="n">
        <v>0.0018</v>
      </c>
      <c r="D112" s="16" t="n">
        <f aca="false">D111*(1+C112)</f>
        <v>264.166766524575</v>
      </c>
    </row>
    <row r="113" customFormat="false" ht="15" hidden="false" customHeight="false" outlineLevel="0" collapsed="false">
      <c r="A113" s="12" t="n">
        <v>2003</v>
      </c>
      <c r="B113" s="12" t="n">
        <v>9</v>
      </c>
      <c r="C113" s="15" t="n">
        <v>0.0082</v>
      </c>
      <c r="D113" s="16" t="n">
        <f aca="false">D112*(1+C113)</f>
        <v>266.332934010077</v>
      </c>
    </row>
    <row r="114" customFormat="false" ht="15" hidden="false" customHeight="false" outlineLevel="0" collapsed="false">
      <c r="A114" s="12" t="n">
        <v>2003</v>
      </c>
      <c r="B114" s="12" t="n">
        <v>10</v>
      </c>
      <c r="C114" s="15" t="n">
        <v>0.0039</v>
      </c>
      <c r="D114" s="16" t="n">
        <f aca="false">D113*(1+C114)</f>
        <v>267.371632452716</v>
      </c>
    </row>
    <row r="115" customFormat="false" ht="15" hidden="false" customHeight="false" outlineLevel="0" collapsed="false">
      <c r="A115" s="12" t="n">
        <v>2003</v>
      </c>
      <c r="B115" s="12" t="n">
        <v>11</v>
      </c>
      <c r="C115" s="15" t="n">
        <v>0.0037</v>
      </c>
      <c r="D115" s="16" t="n">
        <f aca="false">D114*(1+C115)</f>
        <v>268.360907492791</v>
      </c>
    </row>
    <row r="116" customFormat="false" ht="15" hidden="false" customHeight="false" outlineLevel="0" collapsed="false">
      <c r="A116" s="12" t="n">
        <v>2003</v>
      </c>
      <c r="B116" s="12" t="n">
        <v>12</v>
      </c>
      <c r="C116" s="15" t="n">
        <v>0.0054</v>
      </c>
      <c r="D116" s="16" t="n">
        <f aca="false">D115*(1+C116)</f>
        <v>269.810056393252</v>
      </c>
    </row>
    <row r="117" customFormat="false" ht="15" hidden="false" customHeight="false" outlineLevel="0" collapsed="false">
      <c r="A117" s="12" t="n">
        <v>2004</v>
      </c>
      <c r="B117" s="12" t="n">
        <v>1</v>
      </c>
      <c r="C117" s="15" t="n">
        <v>0.0083</v>
      </c>
      <c r="D117" s="16" t="n">
        <f aca="false">D116*(1+C117)</f>
        <v>272.049479861316</v>
      </c>
    </row>
    <row r="118" customFormat="false" ht="15" hidden="false" customHeight="false" outlineLevel="0" collapsed="false">
      <c r="A118" s="12" t="n">
        <v>2004</v>
      </c>
      <c r="B118" s="12" t="n">
        <v>2</v>
      </c>
      <c r="C118" s="15" t="n">
        <v>0.0039</v>
      </c>
      <c r="D118" s="16" t="n">
        <f aca="false">D117*(1+C118)</f>
        <v>273.110472832775</v>
      </c>
    </row>
    <row r="119" customFormat="false" ht="15" hidden="false" customHeight="false" outlineLevel="0" collapsed="false">
      <c r="A119" s="12" t="n">
        <v>2004</v>
      </c>
      <c r="B119" s="12" t="n">
        <v>3</v>
      </c>
      <c r="C119" s="15" t="n">
        <v>0.0057</v>
      </c>
      <c r="D119" s="16" t="n">
        <f aca="false">D118*(1+C119)</f>
        <v>274.667202527922</v>
      </c>
    </row>
    <row r="120" customFormat="false" ht="15" hidden="false" customHeight="false" outlineLevel="0" collapsed="false">
      <c r="A120" s="12" t="n">
        <v>2004</v>
      </c>
      <c r="B120" s="12" t="n">
        <v>4</v>
      </c>
      <c r="C120" s="15" t="n">
        <v>0.0041</v>
      </c>
      <c r="D120" s="16" t="n">
        <f aca="false">D119*(1+C120)</f>
        <v>275.793338058287</v>
      </c>
    </row>
    <row r="121" customFormat="false" ht="15" hidden="false" customHeight="false" outlineLevel="0" collapsed="false">
      <c r="A121" s="12" t="n">
        <v>2004</v>
      </c>
      <c r="B121" s="12" t="n">
        <v>5</v>
      </c>
      <c r="C121" s="15" t="n">
        <v>0.004</v>
      </c>
      <c r="D121" s="16" t="n">
        <f aca="false">D120*(1+C121)</f>
        <v>276.89651141052</v>
      </c>
    </row>
    <row r="122" customFormat="false" ht="15" hidden="false" customHeight="false" outlineLevel="0" collapsed="false">
      <c r="A122" s="12" t="n">
        <v>2004</v>
      </c>
      <c r="B122" s="12" t="n">
        <v>6</v>
      </c>
      <c r="C122" s="15" t="n">
        <v>0.005</v>
      </c>
      <c r="D122" s="16" t="n">
        <f aca="false">D121*(1+C122)</f>
        <v>278.280993967572</v>
      </c>
    </row>
    <row r="123" customFormat="false" ht="15" hidden="false" customHeight="false" outlineLevel="0" collapsed="false">
      <c r="A123" s="12" t="n">
        <v>2004</v>
      </c>
      <c r="B123" s="12" t="n">
        <v>7</v>
      </c>
      <c r="C123" s="15" t="n">
        <v>0.0073</v>
      </c>
      <c r="D123" s="16" t="n">
        <f aca="false">D122*(1+C123)</f>
        <v>280.312445223536</v>
      </c>
    </row>
    <row r="124" customFormat="false" ht="15" hidden="false" customHeight="false" outlineLevel="0" collapsed="false">
      <c r="A124" s="12" t="n">
        <v>2004</v>
      </c>
      <c r="B124" s="12" t="n">
        <v>8</v>
      </c>
      <c r="C124" s="15" t="n">
        <v>0.005</v>
      </c>
      <c r="D124" s="16" t="n">
        <f aca="false">D123*(1+C124)</f>
        <v>281.714007449653</v>
      </c>
    </row>
    <row r="125" customFormat="false" ht="15" hidden="false" customHeight="false" outlineLevel="0" collapsed="false">
      <c r="A125" s="12" t="n">
        <v>2004</v>
      </c>
      <c r="B125" s="12" t="n">
        <v>9</v>
      </c>
      <c r="C125" s="15" t="n">
        <v>0.0017</v>
      </c>
      <c r="D125" s="16" t="n">
        <f aca="false">D124*(1+C125)</f>
        <v>282.192921262318</v>
      </c>
    </row>
    <row r="126" customFormat="false" ht="15" hidden="false" customHeight="false" outlineLevel="0" collapsed="false">
      <c r="A126" s="12" t="n">
        <v>2004</v>
      </c>
      <c r="B126" s="12" t="n">
        <v>10</v>
      </c>
      <c r="C126" s="15" t="n">
        <v>0.0017</v>
      </c>
      <c r="D126" s="16" t="n">
        <f aca="false">D125*(1+C126)</f>
        <v>282.672649228464</v>
      </c>
    </row>
    <row r="127" customFormat="false" ht="15" hidden="false" customHeight="false" outlineLevel="0" collapsed="false">
      <c r="A127" s="12" t="n">
        <v>2004</v>
      </c>
      <c r="B127" s="12" t="n">
        <v>11</v>
      </c>
      <c r="C127" s="15" t="n">
        <v>0.0044</v>
      </c>
      <c r="D127" s="16" t="n">
        <f aca="false">D126*(1+C127)</f>
        <v>283.916408885069</v>
      </c>
    </row>
    <row r="128" customFormat="false" ht="15" hidden="false" customHeight="false" outlineLevel="0" collapsed="false">
      <c r="A128" s="12" t="n">
        <v>2004</v>
      </c>
      <c r="B128" s="12" t="n">
        <v>12</v>
      </c>
      <c r="C128" s="15" t="n">
        <v>0.0086</v>
      </c>
      <c r="D128" s="16" t="n">
        <f aca="false">D127*(1+C128)</f>
        <v>286.358090001481</v>
      </c>
    </row>
    <row r="129" customFormat="false" ht="15" hidden="false" customHeight="false" outlineLevel="0" collapsed="false">
      <c r="A129" s="12" t="n">
        <v>2005</v>
      </c>
      <c r="B129" s="12" t="n">
        <v>1</v>
      </c>
      <c r="C129" s="15" t="n">
        <v>0.0057</v>
      </c>
      <c r="D129" s="16" t="n">
        <f aca="false">D128*(1+C129)</f>
        <v>287.990331114489</v>
      </c>
    </row>
    <row r="130" customFormat="false" ht="15" hidden="false" customHeight="false" outlineLevel="0" collapsed="false">
      <c r="A130" s="12" t="n">
        <v>2005</v>
      </c>
      <c r="B130" s="12" t="n">
        <v>2</v>
      </c>
      <c r="C130" s="15" t="n">
        <v>0.0044</v>
      </c>
      <c r="D130" s="16" t="n">
        <f aca="false">D129*(1+C130)</f>
        <v>289.257488571393</v>
      </c>
    </row>
    <row r="131" customFormat="false" ht="15" hidden="false" customHeight="false" outlineLevel="0" collapsed="false">
      <c r="A131" s="12" t="n">
        <v>2005</v>
      </c>
      <c r="B131" s="12" t="n">
        <v>3</v>
      </c>
      <c r="C131" s="15" t="n">
        <v>0.0073</v>
      </c>
      <c r="D131" s="16" t="n">
        <f aca="false">D130*(1+C131)</f>
        <v>291.369068237964</v>
      </c>
    </row>
    <row r="132" customFormat="false" ht="15" hidden="false" customHeight="false" outlineLevel="0" collapsed="false">
      <c r="A132" s="12" t="n">
        <v>2005</v>
      </c>
      <c r="B132" s="12" t="n">
        <v>4</v>
      </c>
      <c r="C132" s="15" t="n">
        <v>0.0091</v>
      </c>
      <c r="D132" s="16" t="n">
        <f aca="false">D131*(1+C132)</f>
        <v>294.020526758929</v>
      </c>
    </row>
    <row r="133" customFormat="false" ht="15" hidden="false" customHeight="false" outlineLevel="0" collapsed="false">
      <c r="A133" s="12" t="n">
        <v>2005</v>
      </c>
      <c r="B133" s="12" t="n">
        <v>5</v>
      </c>
      <c r="C133" s="15" t="n">
        <v>0.007</v>
      </c>
      <c r="D133" s="16" t="n">
        <f aca="false">D132*(1+C133)</f>
        <v>296.078670446242</v>
      </c>
    </row>
    <row r="134" customFormat="false" ht="15" hidden="false" customHeight="false" outlineLevel="0" collapsed="false">
      <c r="A134" s="12" t="n">
        <v>2005</v>
      </c>
      <c r="B134" s="12" t="n">
        <v>6</v>
      </c>
      <c r="C134" s="15" t="n">
        <v>-0.0011</v>
      </c>
      <c r="D134" s="16" t="n">
        <f aca="false">D133*(1+C134)</f>
        <v>295.752983908751</v>
      </c>
    </row>
    <row r="135" customFormat="false" ht="15" hidden="false" customHeight="false" outlineLevel="0" collapsed="false">
      <c r="A135" s="12" t="n">
        <v>2005</v>
      </c>
      <c r="B135" s="12" t="n">
        <v>7</v>
      </c>
      <c r="C135" s="15" t="n">
        <v>0.0003</v>
      </c>
      <c r="D135" s="16" t="n">
        <f aca="false">D134*(1+C135)</f>
        <v>295.841709803924</v>
      </c>
    </row>
    <row r="136" customFormat="false" ht="15" hidden="false" customHeight="false" outlineLevel="0" collapsed="false">
      <c r="A136" s="12" t="n">
        <v>2005</v>
      </c>
      <c r="B136" s="12" t="n">
        <v>8</v>
      </c>
      <c r="C136" s="15" t="n">
        <v>0</v>
      </c>
      <c r="D136" s="16" t="n">
        <f aca="false">D135*(1+C136)</f>
        <v>295.841709803924</v>
      </c>
    </row>
    <row r="137" customFormat="false" ht="15" hidden="false" customHeight="false" outlineLevel="0" collapsed="false">
      <c r="A137" s="12" t="n">
        <v>2005</v>
      </c>
      <c r="B137" s="12" t="n">
        <v>9</v>
      </c>
      <c r="C137" s="15" t="n">
        <v>0.0015</v>
      </c>
      <c r="D137" s="16" t="n">
        <f aca="false">D136*(1+C137)</f>
        <v>296.28547236863</v>
      </c>
    </row>
    <row r="138" customFormat="false" ht="15" hidden="false" customHeight="false" outlineLevel="0" collapsed="false">
      <c r="A138" s="12" t="n">
        <v>2005</v>
      </c>
      <c r="B138" s="12" t="n">
        <v>10</v>
      </c>
      <c r="C138" s="15" t="n">
        <v>0.0058</v>
      </c>
      <c r="D138" s="16" t="n">
        <f aca="false">D137*(1+C138)</f>
        <v>298.003928108368</v>
      </c>
    </row>
    <row r="139" customFormat="false" ht="15" hidden="false" customHeight="false" outlineLevel="0" collapsed="false">
      <c r="A139" s="12" t="n">
        <v>2005</v>
      </c>
      <c r="B139" s="12" t="n">
        <v>11</v>
      </c>
      <c r="C139" s="15" t="n">
        <v>0.0054</v>
      </c>
      <c r="D139" s="16" t="n">
        <f aca="false">D138*(1+C139)</f>
        <v>299.613149320153</v>
      </c>
    </row>
    <row r="140" customFormat="false" ht="15" hidden="false" customHeight="false" outlineLevel="0" collapsed="false">
      <c r="A140" s="12" t="n">
        <v>2005</v>
      </c>
      <c r="B140" s="12" t="n">
        <v>12</v>
      </c>
      <c r="C140" s="15" t="n">
        <v>0.004</v>
      </c>
      <c r="D140" s="16" t="n">
        <f aca="false">D139*(1+C140)</f>
        <v>300.811601917433</v>
      </c>
    </row>
    <row r="141" customFormat="false" ht="15" hidden="false" customHeight="false" outlineLevel="0" collapsed="false">
      <c r="A141" s="12" t="n">
        <v>2006</v>
      </c>
      <c r="B141" s="12" t="n">
        <v>1</v>
      </c>
      <c r="C141" s="15" t="n">
        <v>0.0038</v>
      </c>
      <c r="D141" s="16" t="n">
        <f aca="false">D140*(1+C141)</f>
        <v>301.95468600472</v>
      </c>
    </row>
    <row r="142" customFormat="false" ht="15" hidden="false" customHeight="false" outlineLevel="0" collapsed="false">
      <c r="A142" s="12" t="n">
        <v>2006</v>
      </c>
      <c r="B142" s="12" t="n">
        <v>2</v>
      </c>
      <c r="C142" s="15" t="n">
        <v>0.0023</v>
      </c>
      <c r="D142" s="16" t="n">
        <f aca="false">D141*(1+C142)</f>
        <v>302.64918178253</v>
      </c>
    </row>
    <row r="143" customFormat="false" ht="15" hidden="false" customHeight="false" outlineLevel="0" collapsed="false">
      <c r="A143" s="12" t="n">
        <v>2006</v>
      </c>
      <c r="B143" s="12" t="n">
        <v>3</v>
      </c>
      <c r="C143" s="15" t="n">
        <v>0.0027</v>
      </c>
      <c r="D143" s="16" t="n">
        <f aca="false">D142*(1+C143)</f>
        <v>303.466334573343</v>
      </c>
    </row>
    <row r="144" customFormat="false" ht="15" hidden="false" customHeight="false" outlineLevel="0" collapsed="false">
      <c r="A144" s="12" t="n">
        <v>2006</v>
      </c>
      <c r="B144" s="12" t="n">
        <v>4</v>
      </c>
      <c r="C144" s="15" t="n">
        <v>0.0012</v>
      </c>
      <c r="D144" s="16" t="n">
        <f aca="false">D143*(1+C144)</f>
        <v>303.830494174831</v>
      </c>
    </row>
    <row r="145" customFormat="false" ht="15" hidden="false" customHeight="false" outlineLevel="0" collapsed="false">
      <c r="A145" s="12" t="n">
        <v>2006</v>
      </c>
      <c r="B145" s="12" t="n">
        <v>5</v>
      </c>
      <c r="C145" s="15" t="n">
        <v>0.0013</v>
      </c>
      <c r="D145" s="16" t="n">
        <f aca="false">D144*(1+C145)</f>
        <v>304.225473817259</v>
      </c>
    </row>
    <row r="146" customFormat="false" ht="15" hidden="false" customHeight="false" outlineLevel="0" collapsed="false">
      <c r="A146" s="12" t="n">
        <v>2006</v>
      </c>
      <c r="B146" s="12" t="n">
        <v>6</v>
      </c>
      <c r="C146" s="15" t="n">
        <v>-0.0007</v>
      </c>
      <c r="D146" s="16" t="n">
        <f aca="false">D145*(1+C146)</f>
        <v>304.012515985587</v>
      </c>
    </row>
    <row r="147" customFormat="false" ht="15" hidden="false" customHeight="false" outlineLevel="0" collapsed="false">
      <c r="A147" s="12" t="n">
        <v>2006</v>
      </c>
      <c r="B147" s="12" t="n">
        <v>7</v>
      </c>
      <c r="C147" s="15" t="n">
        <v>0.0011</v>
      </c>
      <c r="D147" s="16" t="n">
        <f aca="false">D146*(1+C147)</f>
        <v>304.346929753171</v>
      </c>
    </row>
    <row r="148" customFormat="false" ht="15" hidden="false" customHeight="false" outlineLevel="0" collapsed="false">
      <c r="A148" s="12" t="n">
        <v>2006</v>
      </c>
      <c r="B148" s="12" t="n">
        <v>8</v>
      </c>
      <c r="C148" s="15" t="n">
        <v>-0.0002</v>
      </c>
      <c r="D148" s="16" t="n">
        <f aca="false">D147*(1+C148)</f>
        <v>304.28606036722</v>
      </c>
    </row>
    <row r="149" customFormat="false" ht="15" hidden="false" customHeight="false" outlineLevel="0" collapsed="false">
      <c r="A149" s="12" t="n">
        <v>2006</v>
      </c>
      <c r="B149" s="12" t="n">
        <v>9</v>
      </c>
      <c r="C149" s="15" t="n">
        <v>0.0016</v>
      </c>
      <c r="D149" s="16" t="n">
        <f aca="false">D148*(1+C149)</f>
        <v>304.772918063808</v>
      </c>
    </row>
    <row r="150" customFormat="false" ht="15" hidden="false" customHeight="false" outlineLevel="0" collapsed="false">
      <c r="A150" s="12" t="n">
        <v>2006</v>
      </c>
      <c r="B150" s="12" t="n">
        <v>10</v>
      </c>
      <c r="C150" s="15" t="n">
        <v>0.0043</v>
      </c>
      <c r="D150" s="16" t="n">
        <f aca="false">D149*(1+C150)</f>
        <v>306.083441611482</v>
      </c>
    </row>
    <row r="151" customFormat="false" ht="15" hidden="false" customHeight="false" outlineLevel="0" collapsed="false">
      <c r="A151" s="12" t="n">
        <v>2006</v>
      </c>
      <c r="B151" s="12" t="n">
        <v>11</v>
      </c>
      <c r="C151" s="15" t="n">
        <v>0.0042</v>
      </c>
      <c r="D151" s="16" t="n">
        <f aca="false">D150*(1+C151)</f>
        <v>307.36899206625</v>
      </c>
    </row>
    <row r="152" customFormat="false" ht="15" hidden="false" customHeight="false" outlineLevel="0" collapsed="false">
      <c r="A152" s="12" t="n">
        <v>2006</v>
      </c>
      <c r="B152" s="12" t="n">
        <v>12</v>
      </c>
      <c r="C152" s="15" t="n">
        <v>0.0062</v>
      </c>
      <c r="D152" s="16" t="n">
        <f aca="false">D151*(1+C152)</f>
        <v>309.274679817061</v>
      </c>
    </row>
    <row r="153" customFormat="false" ht="15" hidden="false" customHeight="false" outlineLevel="0" collapsed="false">
      <c r="A153" s="12" t="n">
        <v>2007</v>
      </c>
      <c r="B153" s="12" t="n">
        <v>1</v>
      </c>
      <c r="C153" s="15" t="n">
        <v>0.0049</v>
      </c>
      <c r="D153" s="16" t="n">
        <f aca="false">D152*(1+C153)</f>
        <v>310.790125748164</v>
      </c>
    </row>
    <row r="154" customFormat="false" ht="15" hidden="false" customHeight="false" outlineLevel="0" collapsed="false">
      <c r="A154" s="12" t="n">
        <v>2007</v>
      </c>
      <c r="B154" s="12" t="n">
        <v>2</v>
      </c>
      <c r="C154" s="15" t="n">
        <v>0.0042</v>
      </c>
      <c r="D154" s="16" t="n">
        <f aca="false">D153*(1+C154)</f>
        <v>312.095444276307</v>
      </c>
    </row>
    <row r="155" customFormat="false" ht="15" hidden="false" customHeight="false" outlineLevel="0" collapsed="false">
      <c r="A155" s="12" t="n">
        <v>2007</v>
      </c>
      <c r="B155" s="12" t="n">
        <v>3</v>
      </c>
      <c r="C155" s="15" t="n">
        <v>0.0044</v>
      </c>
      <c r="D155" s="16" t="n">
        <f aca="false">D154*(1+C155)</f>
        <v>313.468664231122</v>
      </c>
    </row>
    <row r="156" customFormat="false" ht="15" hidden="false" customHeight="false" outlineLevel="0" collapsed="false">
      <c r="A156" s="12" t="n">
        <v>2007</v>
      </c>
      <c r="B156" s="12" t="n">
        <v>4</v>
      </c>
      <c r="C156" s="15" t="n">
        <v>0.0026</v>
      </c>
      <c r="D156" s="16" t="n">
        <f aca="false">D155*(1+C156)</f>
        <v>314.283682758123</v>
      </c>
    </row>
    <row r="157" customFormat="false" ht="15" hidden="false" customHeight="false" outlineLevel="0" collapsed="false">
      <c r="A157" s="12" t="n">
        <v>2007</v>
      </c>
      <c r="B157" s="12" t="n">
        <v>5</v>
      </c>
      <c r="C157" s="15" t="n">
        <v>0.0026</v>
      </c>
      <c r="D157" s="16" t="n">
        <f aca="false">D156*(1+C157)</f>
        <v>315.100820333294</v>
      </c>
    </row>
    <row r="158" customFormat="false" ht="15" hidden="false" customHeight="false" outlineLevel="0" collapsed="false">
      <c r="A158" s="12" t="n">
        <v>2007</v>
      </c>
      <c r="B158" s="12" t="n">
        <v>6</v>
      </c>
      <c r="C158" s="15" t="n">
        <v>0.0031</v>
      </c>
      <c r="D158" s="16" t="n">
        <f aca="false">D157*(1+C158)</f>
        <v>316.077632876328</v>
      </c>
    </row>
    <row r="159" customFormat="false" ht="15" hidden="false" customHeight="false" outlineLevel="0" collapsed="false">
      <c r="A159" s="12" t="n">
        <v>2007</v>
      </c>
      <c r="B159" s="12" t="n">
        <v>7</v>
      </c>
      <c r="C159" s="15" t="n">
        <v>0.0032</v>
      </c>
      <c r="D159" s="16" t="n">
        <f aca="false">D158*(1+C159)</f>
        <v>317.089081301532</v>
      </c>
    </row>
    <row r="160" customFormat="false" ht="15" hidden="false" customHeight="false" outlineLevel="0" collapsed="false">
      <c r="A160" s="12" t="n">
        <v>2007</v>
      </c>
      <c r="B160" s="12" t="n">
        <v>8</v>
      </c>
      <c r="C160" s="15" t="n">
        <v>0.0059</v>
      </c>
      <c r="D160" s="16" t="n">
        <f aca="false">D159*(1+C160)</f>
        <v>318.959906881211</v>
      </c>
    </row>
    <row r="161" customFormat="false" ht="15" hidden="false" customHeight="false" outlineLevel="0" collapsed="false">
      <c r="A161" s="12" t="n">
        <v>2007</v>
      </c>
      <c r="B161" s="12" t="n">
        <v>9</v>
      </c>
      <c r="C161" s="15" t="n">
        <v>0.0025</v>
      </c>
      <c r="D161" s="16" t="n">
        <f aca="false">D160*(1+C161)</f>
        <v>319.757306648414</v>
      </c>
    </row>
    <row r="162" customFormat="false" ht="15" hidden="false" customHeight="false" outlineLevel="0" collapsed="false">
      <c r="A162" s="12" t="n">
        <v>2007</v>
      </c>
      <c r="B162" s="12" t="n">
        <v>10</v>
      </c>
      <c r="C162" s="15" t="n">
        <v>0.003</v>
      </c>
      <c r="D162" s="16" t="n">
        <f aca="false">D161*(1+C162)</f>
        <v>320.716578568359</v>
      </c>
    </row>
    <row r="163" customFormat="false" ht="15" hidden="false" customHeight="false" outlineLevel="0" collapsed="false">
      <c r="A163" s="12" t="n">
        <v>2007</v>
      </c>
      <c r="B163" s="12" t="n">
        <v>11</v>
      </c>
      <c r="C163" s="15" t="n">
        <v>0.0043</v>
      </c>
      <c r="D163" s="16" t="n">
        <f aca="false">D162*(1+C163)</f>
        <v>322.095659856203</v>
      </c>
    </row>
    <row r="164" customFormat="false" ht="15" hidden="false" customHeight="false" outlineLevel="0" collapsed="false">
      <c r="A164" s="12" t="n">
        <v>2007</v>
      </c>
      <c r="B164" s="12" t="n">
        <v>12</v>
      </c>
      <c r="C164" s="15" t="n">
        <v>0.0097</v>
      </c>
      <c r="D164" s="16" t="n">
        <f aca="false">D163*(1+C164)</f>
        <v>325.219987756808</v>
      </c>
    </row>
    <row r="165" customFormat="false" ht="15" hidden="false" customHeight="false" outlineLevel="0" collapsed="false">
      <c r="A165" s="12" t="n">
        <v>2008</v>
      </c>
      <c r="B165" s="12" t="n">
        <v>1</v>
      </c>
      <c r="C165" s="15" t="n">
        <v>0.0069</v>
      </c>
      <c r="D165" s="16" t="n">
        <f aca="false">D164*(1+C165)</f>
        <v>327.46400567233</v>
      </c>
    </row>
    <row r="166" customFormat="false" ht="15" hidden="false" customHeight="false" outlineLevel="0" collapsed="false">
      <c r="A166" s="12" t="n">
        <v>2008</v>
      </c>
      <c r="B166" s="12" t="n">
        <v>2</v>
      </c>
      <c r="C166" s="15" t="n">
        <v>0.0048</v>
      </c>
      <c r="D166" s="16" t="n">
        <f aca="false">D165*(1+C166)</f>
        <v>329.035832899557</v>
      </c>
    </row>
    <row r="167" customFormat="false" ht="15" hidden="false" customHeight="false" outlineLevel="0" collapsed="false">
      <c r="A167" s="12" t="n">
        <v>2008</v>
      </c>
      <c r="B167" s="12" t="n">
        <v>3</v>
      </c>
      <c r="C167" s="15" t="n">
        <v>0.0051</v>
      </c>
      <c r="D167" s="16" t="n">
        <f aca="false">D166*(1+C167)</f>
        <v>330.713915647345</v>
      </c>
    </row>
    <row r="168" customFormat="false" ht="15" hidden="false" customHeight="false" outlineLevel="0" collapsed="false">
      <c r="A168" s="12" t="n">
        <v>2008</v>
      </c>
      <c r="B168" s="12" t="n">
        <v>4</v>
      </c>
      <c r="C168" s="15" t="n">
        <v>0.0064</v>
      </c>
      <c r="D168" s="16" t="n">
        <f aca="false">D167*(1+C168)</f>
        <v>332.830484707488</v>
      </c>
    </row>
    <row r="169" customFormat="false" ht="15" hidden="false" customHeight="false" outlineLevel="0" collapsed="false">
      <c r="A169" s="12" t="n">
        <v>2008</v>
      </c>
      <c r="B169" s="12" t="n">
        <v>5</v>
      </c>
      <c r="C169" s="15" t="n">
        <v>0.0096</v>
      </c>
      <c r="D169" s="16" t="n">
        <f aca="false">D168*(1+C169)</f>
        <v>336.02565736068</v>
      </c>
    </row>
    <row r="170" customFormat="false" ht="15" hidden="false" customHeight="false" outlineLevel="0" collapsed="false">
      <c r="A170" s="12" t="n">
        <v>2008</v>
      </c>
      <c r="B170" s="12" t="n">
        <v>6</v>
      </c>
      <c r="C170" s="15" t="n">
        <v>0.0091</v>
      </c>
      <c r="D170" s="16" t="n">
        <f aca="false">D169*(1+C170)</f>
        <v>339.083490842662</v>
      </c>
    </row>
    <row r="171" customFormat="false" ht="15" hidden="false" customHeight="false" outlineLevel="0" collapsed="false">
      <c r="A171" s="12" t="n">
        <v>2008</v>
      </c>
      <c r="B171" s="12" t="n">
        <v>7</v>
      </c>
      <c r="C171" s="15" t="n">
        <v>0.0058</v>
      </c>
      <c r="D171" s="16" t="n">
        <f aca="false">D170*(1+C171)</f>
        <v>341.05017508955</v>
      </c>
    </row>
    <row r="172" customFormat="false" ht="15" hidden="false" customHeight="false" outlineLevel="0" collapsed="false">
      <c r="A172" s="12" t="n">
        <v>2008</v>
      </c>
      <c r="B172" s="12" t="n">
        <v>8</v>
      </c>
      <c r="C172" s="15" t="n">
        <v>0.0021</v>
      </c>
      <c r="D172" s="16" t="n">
        <f aca="false">D171*(1+C172)</f>
        <v>341.766380457238</v>
      </c>
    </row>
    <row r="173" customFormat="false" ht="15" hidden="false" customHeight="false" outlineLevel="0" collapsed="false">
      <c r="A173" s="12" t="n">
        <v>2008</v>
      </c>
      <c r="B173" s="12" t="n">
        <v>9</v>
      </c>
      <c r="C173" s="15" t="n">
        <v>0.0015</v>
      </c>
      <c r="D173" s="16" t="n">
        <f aca="false">D172*(1+C173)</f>
        <v>342.279030027924</v>
      </c>
    </row>
    <row r="174" customFormat="false" ht="15" hidden="false" customHeight="false" outlineLevel="0" collapsed="false">
      <c r="A174" s="12" t="n">
        <v>2008</v>
      </c>
      <c r="B174" s="12" t="n">
        <v>10</v>
      </c>
      <c r="C174" s="15" t="n">
        <v>0.005</v>
      </c>
      <c r="D174" s="16" t="n">
        <f aca="false">D173*(1+C174)</f>
        <v>343.990425178063</v>
      </c>
    </row>
    <row r="175" customFormat="false" ht="15" hidden="false" customHeight="false" outlineLevel="0" collapsed="false">
      <c r="A175" s="12" t="n">
        <v>2008</v>
      </c>
      <c r="B175" s="12" t="n">
        <v>11</v>
      </c>
      <c r="C175" s="15" t="n">
        <v>0.0038</v>
      </c>
      <c r="D175" s="16" t="n">
        <f aca="false">D174*(1+C175)</f>
        <v>345.29758879374</v>
      </c>
    </row>
    <row r="176" customFormat="false" ht="15" hidden="false" customHeight="false" outlineLevel="0" collapsed="false">
      <c r="A176" s="12" t="n">
        <v>2008</v>
      </c>
      <c r="B176" s="12" t="n">
        <v>12</v>
      </c>
      <c r="C176" s="15" t="n">
        <v>0.0029</v>
      </c>
      <c r="D176" s="16" t="n">
        <f aca="false">D175*(1+C176)</f>
        <v>346.298951801242</v>
      </c>
    </row>
    <row r="177" customFormat="false" ht="15" hidden="false" customHeight="false" outlineLevel="0" collapsed="false">
      <c r="A177" s="12" t="n">
        <v>2009</v>
      </c>
      <c r="B177" s="12" t="n">
        <v>1</v>
      </c>
      <c r="C177" s="15" t="n">
        <v>0.0064</v>
      </c>
      <c r="D177" s="16" t="n">
        <f aca="false">D176*(1+C177)</f>
        <v>348.51526509277</v>
      </c>
    </row>
    <row r="178" customFormat="false" ht="15" hidden="false" customHeight="false" outlineLevel="0" collapsed="false">
      <c r="A178" s="12" t="n">
        <v>2009</v>
      </c>
      <c r="B178" s="12" t="n">
        <v>2</v>
      </c>
      <c r="C178" s="15" t="n">
        <v>0.0031</v>
      </c>
      <c r="D178" s="16" t="n">
        <f aca="false">D177*(1+C178)</f>
        <v>349.595662414557</v>
      </c>
    </row>
    <row r="179" customFormat="false" ht="15" hidden="false" customHeight="false" outlineLevel="0" collapsed="false">
      <c r="A179" s="12" t="n">
        <v>2009</v>
      </c>
      <c r="B179" s="12" t="n">
        <v>3</v>
      </c>
      <c r="C179" s="15" t="n">
        <v>0.002</v>
      </c>
      <c r="D179" s="16" t="n">
        <f aca="false">D178*(1+C179)</f>
        <v>350.294853739386</v>
      </c>
    </row>
    <row r="180" customFormat="false" ht="15" hidden="false" customHeight="false" outlineLevel="0" collapsed="false">
      <c r="A180" s="12" t="n">
        <v>2009</v>
      </c>
      <c r="B180" s="12" t="n">
        <v>4</v>
      </c>
      <c r="C180" s="15" t="n">
        <v>0.0055</v>
      </c>
      <c r="D180" s="16" t="n">
        <f aca="false">D179*(1+C180)</f>
        <v>352.221475434953</v>
      </c>
    </row>
    <row r="181" customFormat="false" ht="15" hidden="false" customHeight="false" outlineLevel="0" collapsed="false">
      <c r="A181" s="12" t="n">
        <v>2009</v>
      </c>
      <c r="B181" s="12" t="n">
        <v>5</v>
      </c>
      <c r="C181" s="15" t="n">
        <v>0.006</v>
      </c>
      <c r="D181" s="16" t="n">
        <f aca="false">D180*(1+C181)</f>
        <v>354.334804287563</v>
      </c>
    </row>
    <row r="182" customFormat="false" ht="15" hidden="false" customHeight="false" outlineLevel="0" collapsed="false">
      <c r="A182" s="12" t="n">
        <v>2009</v>
      </c>
      <c r="B182" s="12" t="n">
        <v>6</v>
      </c>
      <c r="C182" s="15" t="n">
        <v>0.0042</v>
      </c>
      <c r="D182" s="16" t="n">
        <f aca="false">D181*(1+C182)</f>
        <v>355.823010465571</v>
      </c>
    </row>
    <row r="183" customFormat="false" ht="15" hidden="false" customHeight="false" outlineLevel="0" collapsed="false">
      <c r="A183" s="12" t="n">
        <v>2009</v>
      </c>
      <c r="B183" s="12" t="n">
        <v>7</v>
      </c>
      <c r="C183" s="15" t="n">
        <v>0.0023</v>
      </c>
      <c r="D183" s="16" t="n">
        <f aca="false">D182*(1+C183)</f>
        <v>356.641403389641</v>
      </c>
    </row>
    <row r="184" customFormat="false" ht="15" hidden="false" customHeight="false" outlineLevel="0" collapsed="false">
      <c r="A184" s="12" t="n">
        <v>2009</v>
      </c>
      <c r="B184" s="12" t="n">
        <v>8</v>
      </c>
      <c r="C184" s="15" t="n">
        <v>0.0008</v>
      </c>
      <c r="D184" s="16" t="n">
        <f aca="false">D183*(1+C184)</f>
        <v>356.926716512353</v>
      </c>
    </row>
    <row r="185" customFormat="false" ht="15" hidden="false" customHeight="false" outlineLevel="0" collapsed="false">
      <c r="A185" s="12" t="n">
        <v>2009</v>
      </c>
      <c r="B185" s="12" t="n">
        <v>9</v>
      </c>
      <c r="C185" s="15" t="n">
        <v>0.0016</v>
      </c>
      <c r="D185" s="16" t="n">
        <f aca="false">D184*(1+C185)</f>
        <v>357.497799258773</v>
      </c>
    </row>
    <row r="186" customFormat="false" ht="15" hidden="false" customHeight="false" outlineLevel="0" collapsed="false">
      <c r="A186" s="12" t="n">
        <v>2009</v>
      </c>
      <c r="B186" s="12" t="n">
        <v>10</v>
      </c>
      <c r="C186" s="15" t="n">
        <v>0.0024</v>
      </c>
      <c r="D186" s="16" t="n">
        <f aca="false">D185*(1+C186)</f>
        <v>358.355793976994</v>
      </c>
    </row>
    <row r="187" customFormat="false" ht="15" hidden="false" customHeight="false" outlineLevel="0" collapsed="false">
      <c r="A187" s="12" t="n">
        <v>2009</v>
      </c>
      <c r="B187" s="12" t="n">
        <v>11</v>
      </c>
      <c r="C187" s="15" t="n">
        <v>0.0037</v>
      </c>
      <c r="D187" s="16" t="n">
        <f aca="false">D186*(1+C187)</f>
        <v>359.681710414709</v>
      </c>
    </row>
    <row r="188" customFormat="false" ht="15" hidden="false" customHeight="false" outlineLevel="0" collapsed="false">
      <c r="A188" s="12" t="n">
        <v>2009</v>
      </c>
      <c r="B188" s="12" t="n">
        <v>12</v>
      </c>
      <c r="C188" s="15" t="n">
        <v>0.0024</v>
      </c>
      <c r="D188" s="16" t="n">
        <f aca="false">D187*(1+C188)</f>
        <v>360.544946519704</v>
      </c>
    </row>
    <row r="189" customFormat="false" ht="15" hidden="false" customHeight="false" outlineLevel="0" collapsed="false">
      <c r="A189" s="12" t="n">
        <v>2010</v>
      </c>
      <c r="B189" s="12" t="n">
        <v>1</v>
      </c>
      <c r="C189" s="15" t="n">
        <v>0.0088</v>
      </c>
      <c r="D189" s="16" t="n">
        <f aca="false">D188*(1+C189)</f>
        <v>363.717742049077</v>
      </c>
    </row>
    <row r="190" customFormat="false" ht="15" hidden="false" customHeight="false" outlineLevel="0" collapsed="false">
      <c r="A190" s="12" t="n">
        <v>2010</v>
      </c>
      <c r="B190" s="12" t="n">
        <v>2</v>
      </c>
      <c r="C190" s="15" t="n">
        <v>0.007</v>
      </c>
      <c r="D190" s="16" t="n">
        <f aca="false">D189*(1+C190)</f>
        <v>366.263766243421</v>
      </c>
    </row>
    <row r="191" customFormat="false" ht="15" hidden="false" customHeight="false" outlineLevel="0" collapsed="false">
      <c r="A191" s="12" t="n">
        <v>2010</v>
      </c>
      <c r="B191" s="12" t="n">
        <v>3</v>
      </c>
      <c r="C191" s="15" t="n">
        <v>0.0071</v>
      </c>
      <c r="D191" s="16" t="n">
        <f aca="false">D190*(1+C191)</f>
        <v>368.864238983749</v>
      </c>
    </row>
    <row r="192" customFormat="false" ht="15" hidden="false" customHeight="false" outlineLevel="0" collapsed="false">
      <c r="A192" s="12" t="n">
        <v>2010</v>
      </c>
      <c r="B192" s="12" t="n">
        <v>4</v>
      </c>
      <c r="C192" s="15" t="n">
        <v>0.0073</v>
      </c>
      <c r="D192" s="16" t="n">
        <f aca="false">D191*(1+C192)</f>
        <v>371.556947928331</v>
      </c>
    </row>
    <row r="193" customFormat="false" ht="15" hidden="false" customHeight="false" outlineLevel="0" collapsed="false">
      <c r="A193" s="12" t="n">
        <v>2010</v>
      </c>
      <c r="B193" s="12" t="n">
        <v>5</v>
      </c>
      <c r="C193" s="15" t="n">
        <v>0.0043</v>
      </c>
      <c r="D193" s="16" t="n">
        <f aca="false">D192*(1+C193)</f>
        <v>373.154642804422</v>
      </c>
    </row>
    <row r="194" customFormat="false" ht="15" hidden="false" customHeight="false" outlineLevel="0" collapsed="false">
      <c r="A194" s="12" t="n">
        <v>2010</v>
      </c>
      <c r="B194" s="12" t="n">
        <v>6</v>
      </c>
      <c r="C194" s="15" t="n">
        <v>-0.0011</v>
      </c>
      <c r="D194" s="16" t="n">
        <f aca="false">D193*(1+C194)</f>
        <v>372.744172697338</v>
      </c>
    </row>
    <row r="195" customFormat="false" ht="15" hidden="false" customHeight="false" outlineLevel="0" collapsed="false">
      <c r="A195" s="12" t="n">
        <v>2010</v>
      </c>
      <c r="B195" s="12" t="n">
        <v>7</v>
      </c>
      <c r="C195" s="15" t="n">
        <v>-0.0007</v>
      </c>
      <c r="D195" s="16" t="n">
        <f aca="false">D194*(1+C195)</f>
        <v>372.483251776449</v>
      </c>
    </row>
    <row r="196" customFormat="false" ht="15" hidden="false" customHeight="false" outlineLevel="0" collapsed="false">
      <c r="A196" s="12" t="n">
        <v>2010</v>
      </c>
      <c r="B196" s="12" t="n">
        <v>8</v>
      </c>
      <c r="C196" s="15" t="n">
        <v>-0.0007</v>
      </c>
      <c r="D196" s="16" t="n">
        <f aca="false">D195*(1+C196)</f>
        <v>372.222513500206</v>
      </c>
    </row>
    <row r="197" customFormat="false" ht="15" hidden="false" customHeight="false" outlineLevel="0" collapsed="false">
      <c r="A197" s="12" t="n">
        <v>2010</v>
      </c>
      <c r="B197" s="12" t="n">
        <v>9</v>
      </c>
      <c r="C197" s="15" t="n">
        <v>0.0054</v>
      </c>
      <c r="D197" s="16" t="n">
        <f aca="false">D196*(1+C197)</f>
        <v>374.232515073107</v>
      </c>
    </row>
    <row r="198" customFormat="false" ht="15" hidden="false" customHeight="false" outlineLevel="0" collapsed="false">
      <c r="A198" s="12" t="n">
        <v>2010</v>
      </c>
      <c r="B198" s="12" t="n">
        <v>10</v>
      </c>
      <c r="C198" s="15" t="n">
        <v>0.0092</v>
      </c>
      <c r="D198" s="16" t="n">
        <f aca="false">D197*(1+C198)</f>
        <v>377.67545421178</v>
      </c>
    </row>
    <row r="199" customFormat="false" ht="15" hidden="false" customHeight="false" outlineLevel="0" collapsed="false">
      <c r="A199" s="12" t="n">
        <v>2010</v>
      </c>
      <c r="B199" s="12" t="n">
        <v>11</v>
      </c>
      <c r="C199" s="15" t="n">
        <v>0.0103</v>
      </c>
      <c r="D199" s="16" t="n">
        <f aca="false">D198*(1+C199)</f>
        <v>381.565511390161</v>
      </c>
    </row>
    <row r="200" customFormat="false" ht="15" hidden="false" customHeight="false" outlineLevel="0" collapsed="false">
      <c r="A200" s="12" t="n">
        <v>2010</v>
      </c>
      <c r="B200" s="12" t="n">
        <v>12</v>
      </c>
      <c r="C200" s="15" t="n">
        <v>0.006</v>
      </c>
      <c r="D200" s="16" t="n">
        <f aca="false">D199*(1+C200)</f>
        <v>383.854904458502</v>
      </c>
    </row>
    <row r="201" customFormat="false" ht="15" hidden="false" customHeight="false" outlineLevel="0" collapsed="false">
      <c r="A201" s="12" t="n">
        <v>2011</v>
      </c>
      <c r="B201" s="12" t="n">
        <v>1</v>
      </c>
      <c r="C201" s="15" t="n">
        <v>0.0094</v>
      </c>
      <c r="D201" s="16" t="n">
        <f aca="false">D200*(1+C201)</f>
        <v>387.463140560412</v>
      </c>
    </row>
    <row r="202" customFormat="false" ht="15" hidden="false" customHeight="false" outlineLevel="0" collapsed="false">
      <c r="A202" s="12" t="n">
        <v>2011</v>
      </c>
      <c r="B202" s="12" t="n">
        <v>2</v>
      </c>
      <c r="C202" s="15" t="n">
        <v>0.0054</v>
      </c>
      <c r="D202" s="16" t="n">
        <f aca="false">D201*(1+C202)</f>
        <v>389.555441519438</v>
      </c>
    </row>
    <row r="203" customFormat="false" ht="15" hidden="false" customHeight="false" outlineLevel="0" collapsed="false">
      <c r="A203" s="12" t="n">
        <v>2011</v>
      </c>
      <c r="B203" s="12" t="n">
        <v>3</v>
      </c>
      <c r="C203" s="15" t="n">
        <v>0.0066</v>
      </c>
      <c r="D203" s="16" t="n">
        <f aca="false">D202*(1+C203)</f>
        <v>392.126507433466</v>
      </c>
    </row>
    <row r="204" customFormat="false" ht="15" hidden="false" customHeight="false" outlineLevel="0" collapsed="false">
      <c r="A204" s="12" t="n">
        <v>2011</v>
      </c>
      <c r="B204" s="12" t="n">
        <v>4</v>
      </c>
      <c r="C204" s="15" t="n">
        <v>0.0072</v>
      </c>
      <c r="D204" s="16" t="n">
        <f aca="false">D203*(1+C204)</f>
        <v>394.949818286987</v>
      </c>
    </row>
    <row r="205" customFormat="false" ht="15" hidden="false" customHeight="false" outlineLevel="0" collapsed="false">
      <c r="A205" s="12" t="n">
        <v>2011</v>
      </c>
      <c r="B205" s="12" t="n">
        <v>5</v>
      </c>
      <c r="C205" s="15" t="n">
        <v>0.0057</v>
      </c>
      <c r="D205" s="16" t="n">
        <f aca="false">D204*(1+C205)</f>
        <v>397.201032251223</v>
      </c>
    </row>
    <row r="206" customFormat="false" ht="15" hidden="false" customHeight="false" outlineLevel="0" collapsed="false">
      <c r="A206" s="12" t="n">
        <v>2011</v>
      </c>
      <c r="B206" s="12" t="n">
        <v>6</v>
      </c>
      <c r="C206" s="15" t="n">
        <v>0.0022</v>
      </c>
      <c r="D206" s="16" t="n">
        <f aca="false">D205*(1+C206)</f>
        <v>398.074874522176</v>
      </c>
    </row>
    <row r="207" customFormat="false" ht="15" hidden="false" customHeight="false" outlineLevel="0" collapsed="false">
      <c r="A207" s="12" t="n">
        <v>2011</v>
      </c>
      <c r="B207" s="12" t="n">
        <v>7</v>
      </c>
      <c r="C207" s="15" t="n">
        <v>0</v>
      </c>
      <c r="D207" s="16" t="n">
        <f aca="false">D206*(1+C207)</f>
        <v>398.074874522176</v>
      </c>
    </row>
    <row r="208" customFormat="false" ht="15" hidden="false" customHeight="false" outlineLevel="0" collapsed="false">
      <c r="A208" s="12" t="n">
        <v>2011</v>
      </c>
      <c r="B208" s="12" t="n">
        <v>8</v>
      </c>
      <c r="C208" s="15" t="n">
        <v>0.0042</v>
      </c>
      <c r="D208" s="16" t="n">
        <f aca="false">D207*(1+C208)</f>
        <v>399.746788995169</v>
      </c>
    </row>
    <row r="209" customFormat="false" ht="15" hidden="false" customHeight="false" outlineLevel="0" collapsed="false">
      <c r="A209" s="12" t="n">
        <v>2011</v>
      </c>
      <c r="B209" s="12" t="n">
        <v>9</v>
      </c>
      <c r="C209" s="15" t="n">
        <v>0.0045</v>
      </c>
      <c r="D209" s="16" t="n">
        <f aca="false">D208*(1+C209)</f>
        <v>401.545649545647</v>
      </c>
    </row>
    <row r="210" customFormat="false" ht="15" hidden="false" customHeight="false" outlineLevel="0" collapsed="false">
      <c r="A210" s="12" t="n">
        <v>2011</v>
      </c>
      <c r="B210" s="12" t="n">
        <v>10</v>
      </c>
      <c r="C210" s="15" t="n">
        <v>0.0032</v>
      </c>
      <c r="D210" s="16" t="n">
        <f aca="false">D209*(1+C210)</f>
        <v>402.830595624193</v>
      </c>
    </row>
    <row r="211" customFormat="false" ht="15" hidden="false" customHeight="false" outlineLevel="0" collapsed="false">
      <c r="A211" s="12" t="n">
        <v>2011</v>
      </c>
      <c r="B211" s="12" t="n">
        <v>11</v>
      </c>
      <c r="C211" s="15" t="n">
        <v>0.0057</v>
      </c>
      <c r="D211" s="16" t="n">
        <f aca="false">D210*(1+C211)</f>
        <v>405.126730019251</v>
      </c>
    </row>
    <row r="212" customFormat="false" ht="15" hidden="false" customHeight="false" outlineLevel="0" collapsed="false">
      <c r="A212" s="12" t="n">
        <v>2011</v>
      </c>
      <c r="B212" s="12" t="n">
        <v>12</v>
      </c>
      <c r="C212" s="15" t="n">
        <v>0.0051</v>
      </c>
      <c r="D212" s="16" t="n">
        <f aca="false">D211*(1+C212)</f>
        <v>407.19287634235</v>
      </c>
    </row>
    <row r="213" customFormat="false" ht="15" hidden="false" customHeight="false" outlineLevel="0" collapsed="false">
      <c r="A213" s="12" t="n">
        <v>2012</v>
      </c>
      <c r="B213" s="12" t="n">
        <v>1</v>
      </c>
      <c r="C213" s="15" t="n">
        <v>0.0051</v>
      </c>
      <c r="D213" s="16" t="n">
        <f aca="false">D212*(1+C213)</f>
        <v>409.269560011696</v>
      </c>
    </row>
    <row r="214" customFormat="false" ht="15" hidden="false" customHeight="false" outlineLevel="0" collapsed="false">
      <c r="A214" s="12" t="n">
        <v>2012</v>
      </c>
      <c r="B214" s="12" t="n">
        <v>2</v>
      </c>
      <c r="C214" s="15" t="n">
        <v>0.0039</v>
      </c>
      <c r="D214" s="16" t="n">
        <f aca="false">D213*(1+C214)</f>
        <v>410.865711295741</v>
      </c>
    </row>
    <row r="215" customFormat="false" ht="15" hidden="false" customHeight="false" outlineLevel="0" collapsed="false">
      <c r="A215" s="12" t="n">
        <v>2012</v>
      </c>
      <c r="B215" s="12" t="n">
        <v>3</v>
      </c>
      <c r="C215" s="15" t="n">
        <v>0.0018</v>
      </c>
      <c r="D215" s="16" t="n">
        <f aca="false">D214*(1+C215)</f>
        <v>411.605269576074</v>
      </c>
    </row>
    <row r="216" customFormat="false" ht="15" hidden="false" customHeight="false" outlineLevel="0" collapsed="false">
      <c r="A216" s="12" t="n">
        <v>2012</v>
      </c>
      <c r="B216" s="12" t="n">
        <v>4</v>
      </c>
      <c r="C216" s="15" t="n">
        <v>0.0064</v>
      </c>
      <c r="D216" s="16" t="n">
        <f aca="false">D215*(1+C216)</f>
        <v>414.23954330136</v>
      </c>
    </row>
    <row r="217" customFormat="false" ht="15" hidden="false" customHeight="false" outlineLevel="0" collapsed="false">
      <c r="A217" s="12" t="n">
        <v>2012</v>
      </c>
      <c r="B217" s="12" t="n">
        <v>5</v>
      </c>
      <c r="C217" s="15" t="n">
        <v>0.0055</v>
      </c>
      <c r="D217" s="16" t="n">
        <f aca="false">D216*(1+C217)</f>
        <v>416.517860789518</v>
      </c>
    </row>
    <row r="218" customFormat="false" ht="15" hidden="false" customHeight="false" outlineLevel="0" collapsed="false">
      <c r="A218" s="12" t="n">
        <v>2012</v>
      </c>
      <c r="B218" s="12" t="n">
        <v>6</v>
      </c>
      <c r="C218" s="15" t="n">
        <v>0.0026</v>
      </c>
      <c r="D218" s="16" t="n">
        <f aca="false">D217*(1+C218)</f>
        <v>417.600807227571</v>
      </c>
    </row>
    <row r="219" customFormat="false" ht="15" hidden="false" customHeight="false" outlineLevel="0" collapsed="false">
      <c r="A219" s="12" t="n">
        <v>2012</v>
      </c>
      <c r="B219" s="12" t="n">
        <v>7</v>
      </c>
      <c r="C219" s="15" t="n">
        <v>0.0043</v>
      </c>
      <c r="D219" s="16" t="n">
        <f aca="false">D218*(1+C219)</f>
        <v>419.396490698649</v>
      </c>
    </row>
    <row r="220" customFormat="false" ht="15" hidden="false" customHeight="false" outlineLevel="0" collapsed="false">
      <c r="A220" s="12" t="n">
        <v>2012</v>
      </c>
      <c r="B220" s="12" t="n">
        <v>8</v>
      </c>
      <c r="C220" s="15" t="n">
        <v>0.0045</v>
      </c>
      <c r="D220" s="16" t="n">
        <f aca="false">D219*(1+C220)</f>
        <v>421.283774906793</v>
      </c>
    </row>
    <row r="221" customFormat="false" ht="15" hidden="false" customHeight="false" outlineLevel="0" collapsed="false">
      <c r="A221" s="12" t="n">
        <v>2012</v>
      </c>
      <c r="B221" s="12" t="n">
        <v>9</v>
      </c>
      <c r="C221" s="15" t="n">
        <v>0.0063</v>
      </c>
      <c r="D221" s="16" t="n">
        <f aca="false">D220*(1+C221)</f>
        <v>423.937862688706</v>
      </c>
    </row>
    <row r="222" customFormat="false" ht="15" hidden="false" customHeight="false" outlineLevel="0" collapsed="false">
      <c r="A222" s="12" t="n">
        <v>2012</v>
      </c>
      <c r="B222" s="12" t="n">
        <v>10</v>
      </c>
      <c r="C222" s="15" t="n">
        <v>0.0071</v>
      </c>
      <c r="D222" s="16" t="n">
        <f aca="false">D221*(1+C222)</f>
        <v>426.947821513796</v>
      </c>
    </row>
    <row r="223" customFormat="false" ht="15" hidden="false" customHeight="false" outlineLevel="0" collapsed="false">
      <c r="A223" s="12" t="n">
        <v>2012</v>
      </c>
      <c r="B223" s="12" t="n">
        <v>11</v>
      </c>
      <c r="C223" s="15" t="n">
        <v>0.0054</v>
      </c>
      <c r="D223" s="16" t="n">
        <f aca="false">D222*(1+C223)</f>
        <v>429.25333974997</v>
      </c>
    </row>
    <row r="224" customFormat="false" ht="15" hidden="false" customHeight="false" outlineLevel="0" collapsed="false">
      <c r="A224" s="12" t="n">
        <v>2012</v>
      </c>
      <c r="B224" s="12" t="n">
        <v>12</v>
      </c>
      <c r="C224" s="15" t="n">
        <v>0.0074</v>
      </c>
      <c r="D224" s="16" t="n">
        <f aca="false">D223*(1+C224)</f>
        <v>432.42981446412</v>
      </c>
    </row>
    <row r="225" customFormat="false" ht="15" hidden="false" customHeight="false" outlineLevel="0" collapsed="false">
      <c r="A225" s="12" t="n">
        <v>2013</v>
      </c>
      <c r="B225" s="12" t="n">
        <v>1</v>
      </c>
      <c r="C225" s="15" t="n">
        <v>0.0092</v>
      </c>
      <c r="D225" s="16" t="n">
        <f aca="false">D224*(1+C225)</f>
        <v>436.40816875719</v>
      </c>
    </row>
    <row r="226" customFormat="false" ht="15" hidden="false" customHeight="false" outlineLevel="0" collapsed="false">
      <c r="A226" s="12" t="n">
        <v>2013</v>
      </c>
      <c r="B226" s="12" t="n">
        <v>2</v>
      </c>
      <c r="C226" s="15" t="n">
        <v>0.0052</v>
      </c>
      <c r="D226" s="16" t="n">
        <f aca="false">D225*(1+C226)</f>
        <v>438.677491234727</v>
      </c>
    </row>
    <row r="227" customFormat="false" ht="15" hidden="false" customHeight="false" outlineLevel="0" collapsed="false">
      <c r="A227" s="12" t="n">
        <v>2013</v>
      </c>
      <c r="B227" s="12" t="n">
        <v>3</v>
      </c>
      <c r="C227" s="15" t="n">
        <v>0.006</v>
      </c>
      <c r="D227" s="16" t="n">
        <f aca="false">D226*(1+C227)</f>
        <v>441.309556182136</v>
      </c>
    </row>
    <row r="228" customFormat="false" ht="15" hidden="false" customHeight="false" outlineLevel="0" collapsed="false">
      <c r="A228" s="12" t="n">
        <v>2013</v>
      </c>
      <c r="B228" s="12" t="n">
        <v>4</v>
      </c>
      <c r="C228" s="15" t="n">
        <v>0.0059</v>
      </c>
      <c r="D228" s="16" t="n">
        <f aca="false">D227*(1+C228)</f>
        <v>443.91328256361</v>
      </c>
    </row>
    <row r="229" customFormat="false" ht="15" hidden="false" customHeight="false" outlineLevel="0" collapsed="false">
      <c r="A229" s="12" t="n">
        <v>2013</v>
      </c>
      <c r="B229" s="12" t="n">
        <v>5</v>
      </c>
      <c r="C229" s="15" t="n">
        <v>0.0035</v>
      </c>
      <c r="D229" s="16" t="n">
        <f aca="false">D228*(1+C229)</f>
        <v>445.466979052583</v>
      </c>
    </row>
    <row r="230" customFormat="false" ht="15" hidden="false" customHeight="false" outlineLevel="0" collapsed="false">
      <c r="A230" s="12" t="n">
        <v>2013</v>
      </c>
      <c r="B230" s="12" t="n">
        <v>6</v>
      </c>
      <c r="C230" s="15" t="n">
        <v>0.0028</v>
      </c>
      <c r="D230" s="16" t="n">
        <f aca="false">D229*(1+C230)</f>
        <v>446.71428659393</v>
      </c>
    </row>
    <row r="231" customFormat="false" ht="15" hidden="false" customHeight="false" outlineLevel="0" collapsed="false">
      <c r="A231" s="12" t="n">
        <v>2013</v>
      </c>
      <c r="B231" s="12" t="n">
        <v>7</v>
      </c>
      <c r="C231" s="15" t="n">
        <v>-0.0013</v>
      </c>
      <c r="D231" s="16" t="n">
        <f aca="false">D230*(1+C231)</f>
        <v>446.133558021358</v>
      </c>
    </row>
    <row r="232" customFormat="false" ht="15" hidden="false" customHeight="false" outlineLevel="0" collapsed="false">
      <c r="A232" s="12" t="n">
        <v>2013</v>
      </c>
      <c r="B232" s="12" t="n">
        <v>8</v>
      </c>
      <c r="C232" s="15" t="n">
        <v>0.0016</v>
      </c>
      <c r="D232" s="16" t="n">
        <f aca="false">D231*(1+C232)</f>
        <v>446.847371714192</v>
      </c>
    </row>
    <row r="233" customFormat="false" ht="15" hidden="false" customHeight="false" outlineLevel="0" collapsed="false">
      <c r="A233" s="12" t="n">
        <v>2013</v>
      </c>
      <c r="B233" s="12" t="n">
        <v>9</v>
      </c>
      <c r="C233" s="15" t="n">
        <v>0.0027</v>
      </c>
      <c r="D233" s="16" t="n">
        <f aca="false">D232*(1+C233)</f>
        <v>448.053859617821</v>
      </c>
    </row>
    <row r="234" customFormat="false" ht="15" hidden="false" customHeight="false" outlineLevel="0" collapsed="false">
      <c r="A234" s="12" t="n">
        <v>2013</v>
      </c>
      <c r="B234" s="12" t="n">
        <v>10</v>
      </c>
      <c r="C234" s="15" t="n">
        <v>0.0061</v>
      </c>
      <c r="D234" s="16" t="n">
        <f aca="false">D233*(1+C234)</f>
        <v>450.786988161489</v>
      </c>
    </row>
    <row r="235" customFormat="false" ht="15" hidden="false" customHeight="false" outlineLevel="0" collapsed="false">
      <c r="A235" s="12" t="n">
        <v>2013</v>
      </c>
      <c r="B235" s="12" t="n">
        <v>11</v>
      </c>
      <c r="C235" s="15" t="n">
        <v>0.0054</v>
      </c>
      <c r="D235" s="16" t="n">
        <f aca="false">D234*(1+C235)</f>
        <v>453.221237897561</v>
      </c>
    </row>
    <row r="236" customFormat="false" ht="15" hidden="false" customHeight="false" outlineLevel="0" collapsed="false">
      <c r="A236" s="12" t="n">
        <v>2013</v>
      </c>
      <c r="B236" s="12" t="n">
        <v>12</v>
      </c>
      <c r="C236" s="15" t="n">
        <v>0.0072</v>
      </c>
      <c r="D236" s="16" t="n">
        <f aca="false">D235*(1+C236)</f>
        <v>456.484430810424</v>
      </c>
    </row>
    <row r="237" customFormat="false" ht="15" hidden="false" customHeight="false" outlineLevel="0" collapsed="false">
      <c r="A237" s="12" t="n">
        <v>2014</v>
      </c>
      <c r="B237" s="12" t="n">
        <v>1</v>
      </c>
      <c r="C237" s="15" t="n">
        <v>0.0063</v>
      </c>
      <c r="D237" s="16" t="n">
        <f aca="false">D236*(1+C237)</f>
        <v>459.36028272453</v>
      </c>
    </row>
    <row r="238" customFormat="false" ht="15" hidden="false" customHeight="false" outlineLevel="0" collapsed="false">
      <c r="A238" s="12" t="n">
        <v>2014</v>
      </c>
      <c r="B238" s="12" t="n">
        <v>2</v>
      </c>
      <c r="C238" s="15" t="n">
        <v>0.0064</v>
      </c>
      <c r="D238" s="16" t="n">
        <f aca="false">D237*(1+C238)</f>
        <v>462.300188533967</v>
      </c>
    </row>
    <row r="239" customFormat="false" ht="15" hidden="false" customHeight="false" outlineLevel="0" collapsed="false">
      <c r="A239" s="12" t="n">
        <v>2014</v>
      </c>
      <c r="B239" s="12" t="n">
        <v>3</v>
      </c>
      <c r="C239" s="15" t="n">
        <v>0.0082</v>
      </c>
      <c r="D239" s="16" t="n">
        <f aca="false">D238*(1+C239)</f>
        <v>466.091050079945</v>
      </c>
    </row>
    <row r="240" customFormat="false" ht="15" hidden="false" customHeight="false" outlineLevel="0" collapsed="false">
      <c r="A240" s="12" t="n">
        <v>2014</v>
      </c>
      <c r="B240" s="12" t="n">
        <v>4</v>
      </c>
      <c r="C240" s="15" t="n">
        <v>0.0078</v>
      </c>
      <c r="D240" s="16" t="n">
        <f aca="false">D239*(1+C240)</f>
        <v>469.726560270569</v>
      </c>
    </row>
    <row r="241" customFormat="false" ht="15" hidden="false" customHeight="false" outlineLevel="0" collapsed="false">
      <c r="A241" s="12" t="n">
        <v>2014</v>
      </c>
      <c r="B241" s="12" t="n">
        <v>5</v>
      </c>
      <c r="C241" s="15" t="n">
        <v>0.006</v>
      </c>
      <c r="D241" s="16" t="n">
        <f aca="false">D240*(1+C241)</f>
        <v>472.544919632192</v>
      </c>
    </row>
    <row r="242" customFormat="false" ht="15" hidden="false" customHeight="false" outlineLevel="0" collapsed="false">
      <c r="A242" s="12" t="n">
        <v>2014</v>
      </c>
      <c r="B242" s="12" t="n">
        <v>6</v>
      </c>
      <c r="C242" s="15" t="n">
        <v>0.0026</v>
      </c>
      <c r="D242" s="16" t="n">
        <f aca="false">D241*(1+C242)</f>
        <v>473.773536423236</v>
      </c>
    </row>
    <row r="243" customFormat="false" ht="15" hidden="false" customHeight="false" outlineLevel="0" collapsed="false">
      <c r="A243" s="12" t="n">
        <v>2014</v>
      </c>
      <c r="B243" s="12" t="n">
        <v>7</v>
      </c>
      <c r="C243" s="15" t="n">
        <v>0.0013</v>
      </c>
      <c r="D243" s="16" t="n">
        <f aca="false">D242*(1+C243)</f>
        <v>474.389442020586</v>
      </c>
    </row>
    <row r="244" customFormat="false" ht="15" hidden="false" customHeight="false" outlineLevel="0" collapsed="false">
      <c r="A244" s="12" t="n">
        <v>2014</v>
      </c>
      <c r="B244" s="12" t="n">
        <v>8</v>
      </c>
      <c r="C244" s="15" t="n">
        <v>0.0018</v>
      </c>
      <c r="D244" s="16" t="n">
        <f aca="false">D243*(1+C244)</f>
        <v>475.243343016223</v>
      </c>
    </row>
    <row r="245" customFormat="false" ht="15" hidden="false" customHeight="false" outlineLevel="0" collapsed="false">
      <c r="A245" s="12" t="n">
        <v>2014</v>
      </c>
      <c r="B245" s="12" t="n">
        <v>9</v>
      </c>
      <c r="C245" s="15" t="n">
        <v>0.0049</v>
      </c>
      <c r="D245" s="16" t="n">
        <f aca="false">D244*(1+C245)</f>
        <v>477.572035397003</v>
      </c>
    </row>
    <row r="246" customFormat="false" ht="15" hidden="false" customHeight="false" outlineLevel="0" collapsed="false">
      <c r="A246" s="12" t="n">
        <v>2014</v>
      </c>
      <c r="B246" s="12" t="n">
        <v>10</v>
      </c>
      <c r="C246" s="15" t="n">
        <v>0.0038</v>
      </c>
      <c r="D246" s="16" t="n">
        <f aca="false">D245*(1+C246)</f>
        <v>479.386809131511</v>
      </c>
    </row>
    <row r="247" customFormat="false" ht="15" hidden="false" customHeight="false" outlineLevel="0" collapsed="false">
      <c r="A247" s="12" t="n">
        <v>2014</v>
      </c>
      <c r="B247" s="12" t="n">
        <v>11</v>
      </c>
      <c r="C247" s="15" t="n">
        <v>0.0053</v>
      </c>
      <c r="D247" s="16" t="n">
        <f aca="false">D246*(1+C247)</f>
        <v>481.927559219908</v>
      </c>
    </row>
    <row r="248" customFormat="false" ht="15" hidden="false" customHeight="false" outlineLevel="0" collapsed="false">
      <c r="A248" s="12" t="n">
        <v>2014</v>
      </c>
      <c r="B248" s="12" t="n">
        <v>12</v>
      </c>
      <c r="C248" s="15" t="n">
        <v>0.0062</v>
      </c>
      <c r="D248" s="16" t="n">
        <f aca="false">D247*(1+C248)</f>
        <v>484.915510087072</v>
      </c>
    </row>
    <row r="249" customFormat="false" ht="15" hidden="false" customHeight="false" outlineLevel="0" collapsed="false">
      <c r="A249" s="12" t="n">
        <v>2015</v>
      </c>
      <c r="B249" s="12" t="n">
        <v>1</v>
      </c>
      <c r="C249" s="15" t="n">
        <v>0.0148</v>
      </c>
      <c r="D249" s="16" t="n">
        <f aca="false">D248*(1+C249)</f>
        <v>492.09225963636</v>
      </c>
    </row>
    <row r="250" customFormat="false" ht="15" hidden="false" customHeight="false" outlineLevel="0" collapsed="false">
      <c r="A250" s="12" t="n">
        <v>2015</v>
      </c>
      <c r="B250" s="12" t="n">
        <v>2</v>
      </c>
      <c r="C250" s="15" t="n">
        <v>0.0116</v>
      </c>
      <c r="D250" s="16" t="n">
        <f aca="false">D249*(1+C250)</f>
        <v>497.800529848142</v>
      </c>
    </row>
    <row r="251" customFormat="false" ht="15" hidden="false" customHeight="false" outlineLevel="0" collapsed="false">
      <c r="A251" s="12" t="n">
        <v>2015</v>
      </c>
      <c r="B251" s="12" t="n">
        <v>3</v>
      </c>
      <c r="C251" s="15" t="n">
        <v>0.0151</v>
      </c>
      <c r="D251" s="16" t="n">
        <f aca="false">D250*(1+C251)</f>
        <v>505.317317848849</v>
      </c>
    </row>
    <row r="252" customFormat="false" ht="15" hidden="false" customHeight="false" outlineLevel="0" collapsed="false">
      <c r="A252" s="12" t="n">
        <v>2015</v>
      </c>
      <c r="B252" s="12" t="n">
        <v>4</v>
      </c>
      <c r="C252" s="15" t="n">
        <v>0.0071</v>
      </c>
      <c r="D252" s="16" t="n">
        <f aca="false">D251*(1+C252)</f>
        <v>508.905070805576</v>
      </c>
    </row>
    <row r="253" customFormat="false" ht="15" hidden="false" customHeight="false" outlineLevel="0" collapsed="false">
      <c r="A253" s="12" t="n">
        <v>2015</v>
      </c>
      <c r="B253" s="12" t="n">
        <v>5</v>
      </c>
      <c r="C253" s="15" t="n">
        <v>0.0099</v>
      </c>
      <c r="D253" s="16" t="n">
        <f aca="false">D252*(1+C253)</f>
        <v>513.943231006551</v>
      </c>
    </row>
    <row r="254" customFormat="false" ht="15" hidden="false" customHeight="false" outlineLevel="0" collapsed="false">
      <c r="A254" s="12" t="n">
        <v>2015</v>
      </c>
      <c r="B254" s="12" t="n">
        <v>6</v>
      </c>
      <c r="C254" s="15" t="n">
        <v>0.0077</v>
      </c>
      <c r="D254" s="16" t="n">
        <f aca="false">D253*(1+C254)</f>
        <v>517.900593885302</v>
      </c>
    </row>
    <row r="255" customFormat="false" ht="15" hidden="false" customHeight="false" outlineLevel="0" collapsed="false">
      <c r="A255" s="12" t="n">
        <v>2015</v>
      </c>
      <c r="B255" s="12" t="n">
        <v>7</v>
      </c>
      <c r="C255" s="15" t="n">
        <v>0.0058</v>
      </c>
      <c r="D255" s="16" t="n">
        <f aca="false">D254*(1+C255)</f>
        <v>520.904417329836</v>
      </c>
    </row>
    <row r="256" customFormat="false" ht="15" hidden="false" customHeight="false" outlineLevel="0" collapsed="false">
      <c r="A256" s="12" t="n">
        <v>2015</v>
      </c>
      <c r="B256" s="12" t="n">
        <v>8</v>
      </c>
      <c r="C256" s="15" t="n">
        <v>0.0025</v>
      </c>
      <c r="D256" s="16" t="n">
        <f aca="false">D255*(1+C256)</f>
        <v>522.206678373161</v>
      </c>
    </row>
    <row r="257" customFormat="false" ht="15" hidden="false" customHeight="false" outlineLevel="0" collapsed="false">
      <c r="A257" s="12" t="n">
        <v>2015</v>
      </c>
      <c r="B257" s="12" t="n">
        <v>9</v>
      </c>
      <c r="C257" s="15" t="n">
        <v>0.0051</v>
      </c>
      <c r="D257" s="16" t="n">
        <f aca="false">D256*(1+C257)</f>
        <v>524.869932432864</v>
      </c>
    </row>
    <row r="258" customFormat="false" ht="15" hidden="false" customHeight="false" outlineLevel="0" collapsed="false">
      <c r="A258" s="12" t="n">
        <v>2015</v>
      </c>
      <c r="B258" s="12" t="n">
        <v>10</v>
      </c>
      <c r="C258" s="15" t="n">
        <v>0.0077</v>
      </c>
      <c r="D258" s="16" t="n">
        <f aca="false">D257*(1+C258)</f>
        <v>528.911430912597</v>
      </c>
    </row>
    <row r="259" customFormat="false" ht="15" hidden="false" customHeight="false" outlineLevel="0" collapsed="false">
      <c r="A259" s="12" t="n">
        <v>2015</v>
      </c>
      <c r="B259" s="12" t="n">
        <v>11</v>
      </c>
      <c r="C259" s="15" t="n">
        <v>0.0111</v>
      </c>
      <c r="D259" s="16" t="n">
        <f aca="false">D258*(1+C259)</f>
        <v>534.782347795727</v>
      </c>
    </row>
    <row r="260" customFormat="false" ht="15" hidden="false" customHeight="false" outlineLevel="0" collapsed="false">
      <c r="A260" s="12" t="n">
        <v>2015</v>
      </c>
      <c r="B260" s="12" t="n">
        <v>12</v>
      </c>
      <c r="C260" s="15" t="n">
        <v>0.009</v>
      </c>
      <c r="D260" s="16" t="n">
        <f aca="false">D259*(1+C260)</f>
        <v>539.595388925888</v>
      </c>
    </row>
    <row r="261" customFormat="false" ht="15" hidden="false" customHeight="false" outlineLevel="0" collapsed="false">
      <c r="A261" s="12" t="n">
        <v>2016</v>
      </c>
      <c r="B261" s="12" t="n">
        <v>1</v>
      </c>
      <c r="C261" s="15" t="n">
        <v>0.0151</v>
      </c>
      <c r="D261" s="16" t="n">
        <f aca="false">D260*(1+C261)</f>
        <v>547.743279298669</v>
      </c>
    </row>
    <row r="262" customFormat="false" ht="15" hidden="false" customHeight="false" outlineLevel="0" collapsed="false">
      <c r="A262" s="12" t="n">
        <v>2016</v>
      </c>
      <c r="B262" s="12" t="n">
        <v>2</v>
      </c>
      <c r="C262" s="15" t="n">
        <v>0.0095</v>
      </c>
      <c r="D262" s="16" t="n">
        <f aca="false">D261*(1+C262)</f>
        <v>552.946840452007</v>
      </c>
    </row>
    <row r="263" customFormat="false" ht="15" hidden="false" customHeight="false" outlineLevel="0" collapsed="false">
      <c r="A263" s="12" t="n">
        <v>2016</v>
      </c>
      <c r="B263" s="12" t="n">
        <v>3</v>
      </c>
      <c r="C263" s="15" t="n">
        <v>0.0044</v>
      </c>
      <c r="D263" s="16" t="n">
        <f aca="false">D262*(1+C263)</f>
        <v>555.379806549996</v>
      </c>
    </row>
    <row r="264" customFormat="false" ht="15" hidden="false" customHeight="false" outlineLevel="0" collapsed="false">
      <c r="A264" s="12" t="n">
        <v>2016</v>
      </c>
      <c r="B264" s="12" t="n">
        <v>4</v>
      </c>
      <c r="C264" s="15" t="n">
        <v>0.0064</v>
      </c>
      <c r="D264" s="16" t="n">
        <f aca="false">D263*(1+C264)</f>
        <v>558.934237311916</v>
      </c>
    </row>
    <row r="265" customFormat="false" ht="15" hidden="false" customHeight="false" outlineLevel="0" collapsed="false">
      <c r="A265" s="12" t="n">
        <v>2016</v>
      </c>
      <c r="B265" s="12" t="n">
        <v>5</v>
      </c>
      <c r="C265" s="15" t="n">
        <v>0.0098</v>
      </c>
      <c r="D265" s="16" t="n">
        <f aca="false">D264*(1+C265)</f>
        <v>564.411792837572</v>
      </c>
    </row>
    <row r="266" customFormat="false" ht="15" hidden="false" customHeight="false" outlineLevel="0" collapsed="false">
      <c r="A266" s="12" t="n">
        <v>2016</v>
      </c>
      <c r="B266" s="12" t="n">
        <v>6</v>
      </c>
      <c r="C266" s="15" t="n">
        <v>0.0047</v>
      </c>
      <c r="D266" s="16" t="n">
        <f aca="false">D265*(1+C266)</f>
        <v>567.064528263909</v>
      </c>
    </row>
    <row r="267" customFormat="false" ht="15" hidden="false" customHeight="false" outlineLevel="0" collapsed="false">
      <c r="A267" s="12" t="n">
        <v>2016</v>
      </c>
      <c r="B267" s="12" t="n">
        <v>7</v>
      </c>
      <c r="C267" s="15" t="n">
        <v>0.0064</v>
      </c>
      <c r="D267" s="16" t="n">
        <f aca="false">D266*(1+C267)</f>
        <v>570.693741244798</v>
      </c>
    </row>
    <row r="268" customFormat="false" ht="15" hidden="false" customHeight="false" outlineLevel="0" collapsed="false">
      <c r="A268" s="12" t="n">
        <v>2016</v>
      </c>
      <c r="B268" s="12" t="n">
        <v>8</v>
      </c>
      <c r="C268" s="15" t="n">
        <v>0.0031</v>
      </c>
      <c r="D268" s="16" t="n">
        <f aca="false">D267*(1+C268)</f>
        <v>572.462891842657</v>
      </c>
    </row>
    <row r="269" customFormat="false" ht="15" hidden="false" customHeight="false" outlineLevel="0" collapsed="false">
      <c r="A269" s="12" t="n">
        <v>2016</v>
      </c>
      <c r="B269" s="12" t="n">
        <v>9</v>
      </c>
      <c r="C269" s="15" t="n">
        <v>0.0008</v>
      </c>
      <c r="D269" s="16" t="n">
        <f aca="false">D268*(1+C269)</f>
        <v>572.920862156131</v>
      </c>
    </row>
    <row r="270" customFormat="false" ht="15" hidden="false" customHeight="false" outlineLevel="0" collapsed="false">
      <c r="A270" s="12" t="n">
        <v>2016</v>
      </c>
      <c r="B270" s="12" t="n">
        <v>10</v>
      </c>
      <c r="C270" s="15" t="n">
        <v>0.0017</v>
      </c>
      <c r="D270" s="16" t="n">
        <f aca="false">D269*(1+C270)</f>
        <v>573.894827621796</v>
      </c>
    </row>
    <row r="271" customFormat="false" ht="15" hidden="false" customHeight="false" outlineLevel="0" collapsed="false">
      <c r="A271" s="12" t="n">
        <v>2016</v>
      </c>
      <c r="B271" s="12" t="n">
        <v>11</v>
      </c>
      <c r="C271" s="15" t="n">
        <v>0.0007</v>
      </c>
      <c r="D271" s="16" t="n">
        <f aca="false">D270*(1+C271)</f>
        <v>574.296554001131</v>
      </c>
    </row>
    <row r="272" customFormat="false" ht="15" hidden="false" customHeight="false" outlineLevel="0" collapsed="false">
      <c r="A272" s="12" t="n">
        <v>2016</v>
      </c>
      <c r="B272" s="12" t="n">
        <v>12</v>
      </c>
      <c r="C272" s="15" t="n">
        <v>0.0014</v>
      </c>
      <c r="D272" s="16" t="n">
        <f aca="false">D271*(1+C272)</f>
        <v>575.100569176733</v>
      </c>
    </row>
    <row r="273" customFormat="false" ht="15" hidden="false" customHeight="false" outlineLevel="0" collapsed="false">
      <c r="A273" s="12" t="n">
        <v>2017</v>
      </c>
      <c r="B273" s="12" t="n">
        <v>1</v>
      </c>
      <c r="C273" s="15" t="n">
        <v>0.0042</v>
      </c>
      <c r="D273" s="16" t="n">
        <f aca="false">D272*(1+C273)</f>
        <v>577.515991567275</v>
      </c>
    </row>
    <row r="274" customFormat="false" ht="15" hidden="false" customHeight="false" outlineLevel="0" collapsed="false">
      <c r="A274" s="12" t="n">
        <v>2017</v>
      </c>
      <c r="B274" s="12" t="n">
        <v>2</v>
      </c>
      <c r="C274" s="15" t="n">
        <v>0.0024</v>
      </c>
      <c r="D274" s="16" t="n">
        <f aca="false">D273*(1+C274)</f>
        <v>578.902029947037</v>
      </c>
    </row>
    <row r="275" customFormat="false" ht="15" hidden="false" customHeight="false" outlineLevel="0" collapsed="false">
      <c r="A275" s="12" t="n">
        <v>2017</v>
      </c>
      <c r="B275" s="12" t="n">
        <v>3</v>
      </c>
      <c r="C275" s="15" t="n">
        <v>0.0032</v>
      </c>
      <c r="D275" s="16" t="n">
        <f aca="false">D274*(1+C275)</f>
        <v>580.754516442867</v>
      </c>
    </row>
    <row r="276" customFormat="false" ht="15" hidden="false" customHeight="false" outlineLevel="0" collapsed="false">
      <c r="A276" s="12" t="n">
        <v>2017</v>
      </c>
      <c r="B276" s="12" t="n">
        <v>4</v>
      </c>
      <c r="C276" s="15" t="n">
        <v>0.0008</v>
      </c>
      <c r="D276" s="16" t="n">
        <f aca="false">D275*(1+C276)</f>
        <v>581.219120056022</v>
      </c>
    </row>
    <row r="277" customFormat="false" ht="15" hidden="false" customHeight="false" outlineLevel="0" collapsed="false">
      <c r="A277" s="12" t="n">
        <v>2017</v>
      </c>
      <c r="B277" s="12" t="n">
        <v>5</v>
      </c>
      <c r="C277" s="15" t="n">
        <v>0.0036</v>
      </c>
      <c r="D277" s="16" t="n">
        <f aca="false">D276*(1+C277)</f>
        <v>583.311508888223</v>
      </c>
    </row>
    <row r="278" customFormat="false" ht="15" hidden="false" customHeight="false" outlineLevel="0" collapsed="false">
      <c r="A278" s="12" t="n">
        <v>2017</v>
      </c>
      <c r="B278" s="12" t="n">
        <v>6</v>
      </c>
      <c r="C278" s="15" t="n">
        <v>-0.003</v>
      </c>
      <c r="D278" s="16" t="n">
        <f aca="false">D277*(1+C278)</f>
        <v>581.561574361559</v>
      </c>
    </row>
    <row r="279" customFormat="false" ht="15" hidden="false" customHeight="false" outlineLevel="0" collapsed="false">
      <c r="A279" s="12" t="n">
        <v>2017</v>
      </c>
      <c r="B279" s="12" t="n">
        <v>7</v>
      </c>
      <c r="C279" s="15" t="n">
        <v>0.0017</v>
      </c>
      <c r="D279" s="16" t="n">
        <f aca="false">D278*(1+C279)</f>
        <v>582.550229037973</v>
      </c>
    </row>
    <row r="280" customFormat="false" ht="15" hidden="false" customHeight="false" outlineLevel="0" collapsed="false">
      <c r="A280" s="12" t="n">
        <v>2017</v>
      </c>
      <c r="B280" s="12" t="n">
        <v>8</v>
      </c>
      <c r="C280" s="15" t="n">
        <v>-0.0003</v>
      </c>
      <c r="D280" s="16" t="n">
        <f aca="false">D279*(1+C280)</f>
        <v>582.375463969262</v>
      </c>
    </row>
    <row r="281" customFormat="false" ht="15" hidden="false" customHeight="false" outlineLevel="0" collapsed="false">
      <c r="A281" s="12" t="n">
        <v>2017</v>
      </c>
      <c r="B281" s="12" t="n">
        <v>9</v>
      </c>
      <c r="C281" s="15" t="n">
        <v>-0.0002</v>
      </c>
      <c r="D281" s="16" t="n">
        <f aca="false">D280*(1+C281)</f>
        <v>582.258988876468</v>
      </c>
    </row>
    <row r="282" customFormat="false" ht="15" hidden="false" customHeight="false" outlineLevel="0" collapsed="false">
      <c r="A282" s="12" t="n">
        <v>2017</v>
      </c>
      <c r="B282" s="12" t="n">
        <v>10</v>
      </c>
      <c r="C282" s="15" t="n">
        <v>0.0037</v>
      </c>
      <c r="D282" s="16" t="n">
        <f aca="false">D281*(1+C282)</f>
        <v>584.413347135311</v>
      </c>
    </row>
    <row r="283" customFormat="false" ht="15" hidden="false" customHeight="false" outlineLevel="0" collapsed="false">
      <c r="A283" s="12" t="n">
        <v>2017</v>
      </c>
      <c r="B283" s="12" t="n">
        <v>11</v>
      </c>
      <c r="C283" s="15" t="n">
        <v>0.0018</v>
      </c>
      <c r="D283" s="16" t="n">
        <f aca="false">D282*(1+C283)</f>
        <v>585.465291160155</v>
      </c>
    </row>
    <row r="284" customFormat="false" ht="15" hidden="false" customHeight="false" outlineLevel="0" collapsed="false">
      <c r="A284" s="12" t="n">
        <v>2017</v>
      </c>
      <c r="B284" s="12" t="n">
        <v>12</v>
      </c>
      <c r="C284" s="15" t="n">
        <v>0.0026</v>
      </c>
      <c r="D284" s="16" t="n">
        <f aca="false">D283*(1+C284)</f>
        <v>586.987500917171</v>
      </c>
    </row>
    <row r="285" customFormat="false" ht="15" hidden="false" customHeight="false" outlineLevel="0" collapsed="false">
      <c r="A285" s="12" t="n">
        <v>2018</v>
      </c>
      <c r="B285" s="12" t="n">
        <v>1</v>
      </c>
      <c r="C285" s="15" t="n">
        <v>0.0023</v>
      </c>
      <c r="D285" s="16" t="n">
        <f aca="false">D284*(1+C285)</f>
        <v>588.337572169281</v>
      </c>
    </row>
    <row r="286" customFormat="false" ht="15" hidden="false" customHeight="false" outlineLevel="0" collapsed="false">
      <c r="A286" s="12" t="n">
        <v>2018</v>
      </c>
      <c r="B286" s="12" t="n">
        <v>2</v>
      </c>
      <c r="C286" s="15" t="n">
        <v>0.0018</v>
      </c>
      <c r="D286" s="16" t="n">
        <f aca="false">D285*(1+C286)</f>
        <v>589.396579799185</v>
      </c>
    </row>
    <row r="287" customFormat="false" ht="15" hidden="false" customHeight="false" outlineLevel="0" collapsed="false">
      <c r="A287" s="12" t="n">
        <v>2018</v>
      </c>
      <c r="B287" s="12" t="n">
        <v>3</v>
      </c>
      <c r="C287" s="15" t="n">
        <v>0.0007</v>
      </c>
      <c r="D287" s="16" t="n">
        <f aca="false">D286*(1+C287)</f>
        <v>589.809157405045</v>
      </c>
    </row>
    <row r="288" customFormat="false" ht="15" hidden="false" customHeight="false" outlineLevel="0" collapsed="false">
      <c r="A288" s="12" t="n">
        <v>2018</v>
      </c>
      <c r="B288" s="12" t="n">
        <v>4</v>
      </c>
      <c r="C288" s="15" t="n">
        <v>0.0021</v>
      </c>
      <c r="D288" s="16" t="n">
        <f aca="false">D287*(1+C288)</f>
        <v>591.047756635595</v>
      </c>
    </row>
    <row r="289" customFormat="false" ht="15" hidden="false" customHeight="false" outlineLevel="0" collapsed="false">
      <c r="A289" s="12" t="n">
        <v>2018</v>
      </c>
      <c r="B289" s="12" t="n">
        <v>5</v>
      </c>
      <c r="C289" s="15" t="n">
        <v>0.0043</v>
      </c>
      <c r="D289" s="16" t="n">
        <f aca="false">D288*(1+C289)</f>
        <v>593.589261989128</v>
      </c>
    </row>
    <row r="290" customFormat="false" ht="15" hidden="false" customHeight="false" outlineLevel="0" collapsed="false">
      <c r="A290" s="12" t="n">
        <v>2018</v>
      </c>
      <c r="B290" s="12" t="n">
        <v>6</v>
      </c>
      <c r="C290" s="15" t="n">
        <v>0.0143</v>
      </c>
      <c r="D290" s="16" t="n">
        <f aca="false">D289*(1+C290)</f>
        <v>602.077588435573</v>
      </c>
    </row>
    <row r="291" customFormat="false" ht="15" hidden="false" customHeight="false" outlineLevel="0" collapsed="false">
      <c r="A291" s="12" t="n">
        <v>2018</v>
      </c>
      <c r="B291" s="12" t="n">
        <v>7</v>
      </c>
      <c r="C291" s="15" t="n">
        <v>0.0025</v>
      </c>
      <c r="D291" s="16" t="n">
        <f aca="false">D290*(1+C291)</f>
        <v>603.582782406662</v>
      </c>
    </row>
    <row r="292" customFormat="false" ht="15" hidden="false" customHeight="false" outlineLevel="0" collapsed="false">
      <c r="A292" s="12" t="n">
        <v>2018</v>
      </c>
      <c r="B292" s="12" t="n">
        <v>8</v>
      </c>
      <c r="C292" s="15" t="n">
        <v>0</v>
      </c>
      <c r="D292" s="16" t="n">
        <f aca="false">D291*(1+C292)</f>
        <v>603.582782406662</v>
      </c>
    </row>
    <row r="293" customFormat="false" ht="15" hidden="false" customHeight="false" outlineLevel="0" collapsed="false">
      <c r="A293" s="12" t="n">
        <v>2018</v>
      </c>
      <c r="B293" s="12" t="n">
        <v>9</v>
      </c>
      <c r="C293" s="15" t="n">
        <v>0.003</v>
      </c>
      <c r="D293" s="16" t="n">
        <f aca="false">D292*(1+C293)</f>
        <v>605.393530753882</v>
      </c>
    </row>
    <row r="294" customFormat="false" ht="15" hidden="false" customHeight="false" outlineLevel="0" collapsed="false">
      <c r="A294" s="12" t="n">
        <v>2018</v>
      </c>
      <c r="B294" s="12" t="n">
        <v>10</v>
      </c>
      <c r="C294" s="15" t="n">
        <v>0.004</v>
      </c>
      <c r="D294" s="16" t="n">
        <f aca="false">D293*(1+C294)</f>
        <v>607.815104876897</v>
      </c>
    </row>
    <row r="295" customFormat="false" ht="15" hidden="false" customHeight="false" outlineLevel="0" collapsed="false">
      <c r="A295" s="12" t="n">
        <v>2018</v>
      </c>
      <c r="B295" s="12" t="n">
        <v>11</v>
      </c>
      <c r="C295" s="15" t="n">
        <v>-0.0025</v>
      </c>
      <c r="D295" s="16" t="n">
        <f aca="false">D294*(1+C295)</f>
        <v>606.295567114705</v>
      </c>
    </row>
    <row r="296" customFormat="false" ht="15" hidden="false" customHeight="false" outlineLevel="0" collapsed="false">
      <c r="A296" s="12" t="n">
        <v>2018</v>
      </c>
      <c r="B296" s="12" t="n">
        <v>12</v>
      </c>
      <c r="C296" s="15" t="n">
        <v>0.0014</v>
      </c>
      <c r="D296" s="16" t="n">
        <f aca="false">D295*(1+C296)</f>
        <v>607.144380908666</v>
      </c>
    </row>
    <row r="297" customFormat="false" ht="15" hidden="false" customHeight="false" outlineLevel="0" collapsed="false">
      <c r="A297" s="12" t="n">
        <v>2019</v>
      </c>
      <c r="B297" s="12" t="n">
        <v>1</v>
      </c>
      <c r="C297" s="15" t="n">
        <v>0.0036</v>
      </c>
      <c r="D297" s="16" t="n">
        <f aca="false">D296*(1+C297)</f>
        <v>609.330100679937</v>
      </c>
    </row>
    <row r="298" customFormat="false" ht="15" hidden="false" customHeight="false" outlineLevel="0" collapsed="false">
      <c r="A298" s="12" t="n">
        <v>2019</v>
      </c>
      <c r="B298" s="12" t="n">
        <v>2</v>
      </c>
      <c r="C298" s="15" t="n">
        <v>0.0054</v>
      </c>
      <c r="D298" s="16" t="n">
        <f aca="false">D297*(1+C298)</f>
        <v>612.620483223609</v>
      </c>
    </row>
    <row r="299" customFormat="false" ht="15" hidden="false" customHeight="false" outlineLevel="0" collapsed="false">
      <c r="A299" s="12" t="n">
        <v>2019</v>
      </c>
      <c r="B299" s="12" t="n">
        <v>3</v>
      </c>
      <c r="C299" s="15" t="n">
        <v>0.0077</v>
      </c>
      <c r="D299" s="16" t="n">
        <f aca="false">D298*(1+C299)</f>
        <v>617.33766094443</v>
      </c>
    </row>
    <row r="300" customFormat="false" ht="15" hidden="false" customHeight="false" outlineLevel="0" collapsed="false">
      <c r="A300" s="12" t="n">
        <v>2019</v>
      </c>
      <c r="B300" s="12" t="n">
        <v>4</v>
      </c>
      <c r="C300" s="15" t="n">
        <v>0.006</v>
      </c>
      <c r="D300" s="16" t="n">
        <f aca="false">D299*(1+C300)</f>
        <v>621.041686910097</v>
      </c>
    </row>
    <row r="301" customFormat="false" ht="15" hidden="false" customHeight="false" outlineLevel="0" collapsed="false">
      <c r="A301" s="12" t="n">
        <v>2019</v>
      </c>
      <c r="B301" s="12" t="n">
        <v>5</v>
      </c>
      <c r="C301" s="15" t="n">
        <v>0.0015</v>
      </c>
      <c r="D301" s="16" t="n">
        <f aca="false">D300*(1+C301)</f>
        <v>621.973249440462</v>
      </c>
    </row>
    <row r="302" customFormat="false" ht="15" hidden="false" customHeight="false" outlineLevel="0" collapsed="false">
      <c r="A302" s="12" t="n">
        <v>2019</v>
      </c>
      <c r="B302" s="12" t="n">
        <v>6</v>
      </c>
      <c r="C302" s="15" t="n">
        <v>0.0001</v>
      </c>
      <c r="D302" s="16" t="n">
        <f aca="false">D301*(1+C302)</f>
        <v>622.035446765406</v>
      </c>
    </row>
    <row r="303" customFormat="false" ht="15" hidden="false" customHeight="false" outlineLevel="0" collapsed="false">
      <c r="A303" s="12" t="n">
        <v>2019</v>
      </c>
      <c r="B303" s="12" t="n">
        <v>7</v>
      </c>
      <c r="C303" s="15" t="n">
        <v>0.001</v>
      </c>
      <c r="D303" s="16" t="n">
        <f aca="false">D302*(1+C303)</f>
        <v>622.657482212172</v>
      </c>
    </row>
    <row r="304" customFormat="false" ht="15" hidden="false" customHeight="false" outlineLevel="0" collapsed="false">
      <c r="A304" s="12" t="n">
        <v>2019</v>
      </c>
      <c r="B304" s="12" t="n">
        <v>8</v>
      </c>
      <c r="C304" s="15" t="n">
        <v>0.0012</v>
      </c>
      <c r="D304" s="16" t="n">
        <f aca="false">D303*(1+C304)</f>
        <v>623.404671190826</v>
      </c>
    </row>
    <row r="305" customFormat="false" ht="15" hidden="false" customHeight="false" outlineLevel="0" collapsed="false">
      <c r="A305" s="12" t="n">
        <v>2019</v>
      </c>
      <c r="B305" s="12" t="n">
        <v>9</v>
      </c>
      <c r="C305" s="15" t="n">
        <v>-0.0005</v>
      </c>
      <c r="D305" s="16" t="n">
        <f aca="false">D304*(1+C305)</f>
        <v>623.092968855231</v>
      </c>
    </row>
    <row r="306" customFormat="false" ht="15" hidden="false" customHeight="false" outlineLevel="0" collapsed="false">
      <c r="A306" s="12" t="n">
        <v>2019</v>
      </c>
      <c r="B306" s="12" t="n">
        <v>10</v>
      </c>
      <c r="C306" s="15" t="n">
        <v>0.0004</v>
      </c>
      <c r="D306" s="16" t="n">
        <f aca="false">D305*(1+C306)</f>
        <v>623.342206042773</v>
      </c>
    </row>
    <row r="307" customFormat="false" ht="15" hidden="false" customHeight="false" outlineLevel="0" collapsed="false">
      <c r="A307" s="12" t="n">
        <v>2019</v>
      </c>
      <c r="B307" s="12" t="n">
        <v>11</v>
      </c>
      <c r="C307" s="15" t="n">
        <v>0.0054</v>
      </c>
      <c r="D307" s="16" t="n">
        <f aca="false">D306*(1+C307)</f>
        <v>626.708253955404</v>
      </c>
    </row>
    <row r="308" customFormat="false" ht="15" hidden="false" customHeight="false" outlineLevel="0" collapsed="false">
      <c r="A308" s="12" t="n">
        <v>2019</v>
      </c>
      <c r="B308" s="12" t="n">
        <v>12</v>
      </c>
      <c r="C308" s="15" t="n">
        <v>0.0122</v>
      </c>
      <c r="D308" s="16" t="n">
        <f aca="false">D307*(1+C308)</f>
        <v>634.35409465366</v>
      </c>
    </row>
    <row r="309" customFormat="false" ht="15" hidden="false" customHeight="false" outlineLevel="0" collapsed="false">
      <c r="A309" s="12" t="n">
        <v>2020</v>
      </c>
      <c r="B309" s="12" t="n">
        <v>1</v>
      </c>
      <c r="C309" s="15" t="n">
        <v>0.0019</v>
      </c>
      <c r="D309" s="16" t="n">
        <f aca="false">D308*(1+C309)</f>
        <v>635.559367433502</v>
      </c>
    </row>
    <row r="310" customFormat="false" ht="15" hidden="false" customHeight="false" outlineLevel="0" collapsed="false">
      <c r="A310" s="12" t="n">
        <v>2020</v>
      </c>
      <c r="B310" s="12" t="n">
        <v>2</v>
      </c>
      <c r="C310" s="15" t="n">
        <v>0.0017</v>
      </c>
      <c r="D310" s="16" t="n">
        <f aca="false">D309*(1+C310)</f>
        <v>636.639818358139</v>
      </c>
    </row>
    <row r="311" customFormat="false" ht="15" hidden="false" customHeight="false" outlineLevel="0" collapsed="false">
      <c r="A311" s="12" t="n">
        <v>2020</v>
      </c>
      <c r="B311" s="12" t="n">
        <v>3</v>
      </c>
      <c r="C311" s="15" t="n">
        <v>0.0018</v>
      </c>
      <c r="D311" s="16" t="n">
        <f aca="false">D310*(1+C311)</f>
        <v>637.785770031184</v>
      </c>
    </row>
    <row r="312" customFormat="false" ht="15" hidden="false" customHeight="false" outlineLevel="0" collapsed="false">
      <c r="A312" s="12" t="n">
        <v>2020</v>
      </c>
      <c r="B312" s="12" t="n">
        <v>4</v>
      </c>
      <c r="C312" s="15" t="n">
        <v>-0.0023</v>
      </c>
      <c r="D312" s="16" t="n">
        <f aca="false">D311*(1+C312)</f>
        <v>636.318862760112</v>
      </c>
    </row>
    <row r="313" customFormat="false" ht="15" hidden="false" customHeight="false" outlineLevel="0" collapsed="false">
      <c r="A313" s="12" t="n">
        <v>2020</v>
      </c>
      <c r="B313" s="12" t="n">
        <v>5</v>
      </c>
      <c r="C313" s="15" t="n">
        <v>-0.0025</v>
      </c>
      <c r="D313" s="16" t="n">
        <f aca="false">D312*(1+C313)</f>
        <v>634.728065603212</v>
      </c>
    </row>
    <row r="314" customFormat="false" ht="15" hidden="false" customHeight="false" outlineLevel="0" collapsed="false">
      <c r="A314" s="12" t="n">
        <v>2020</v>
      </c>
      <c r="B314" s="12" t="n">
        <v>6</v>
      </c>
      <c r="C314" s="15" t="n">
        <v>0.003</v>
      </c>
      <c r="D314" s="16" t="n">
        <f aca="false">D313*(1+C314)</f>
        <v>636.632249800021</v>
      </c>
    </row>
    <row r="315" customFormat="false" ht="15" hidden="false" customHeight="false" outlineLevel="0" collapsed="false">
      <c r="A315" s="12" t="n">
        <v>2020</v>
      </c>
      <c r="B315" s="12" t="n">
        <v>7</v>
      </c>
      <c r="C315" s="15" t="n">
        <v>0.0044</v>
      </c>
      <c r="D315" s="16" t="n">
        <f aca="false">D314*(1+C315)</f>
        <v>639.433431699141</v>
      </c>
    </row>
    <row r="316" customFormat="false" ht="15" hidden="false" customHeight="false" outlineLevel="0" collapsed="false">
      <c r="A316" s="12" t="n">
        <v>2020</v>
      </c>
      <c r="B316" s="12" t="n">
        <v>8</v>
      </c>
      <c r="C316" s="15" t="n">
        <v>0.0036</v>
      </c>
      <c r="D316" s="16" t="n">
        <f aca="false">D315*(1+C316)</f>
        <v>641.735392053258</v>
      </c>
    </row>
    <row r="317" customFormat="false" ht="15" hidden="false" customHeight="false" outlineLevel="0" collapsed="false">
      <c r="A317" s="12" t="n">
        <v>2020</v>
      </c>
      <c r="B317" s="12" t="n">
        <v>9</v>
      </c>
      <c r="C317" s="15" t="n">
        <v>0.0087</v>
      </c>
      <c r="D317" s="16" t="n">
        <f aca="false">D316*(1+C317)</f>
        <v>647.318489964121</v>
      </c>
    </row>
    <row r="318" customFormat="false" ht="15" hidden="false" customHeight="false" outlineLevel="0" collapsed="false">
      <c r="A318" s="12" t="n">
        <v>2020</v>
      </c>
      <c r="B318" s="12" t="n">
        <v>10</v>
      </c>
      <c r="C318" s="15" t="n">
        <v>0.0089</v>
      </c>
      <c r="D318" s="16" t="n">
        <f aca="false">D317*(1+C318)</f>
        <v>653.079624524802</v>
      </c>
    </row>
    <row r="319" customFormat="false" ht="15" hidden="false" customHeight="false" outlineLevel="0" collapsed="false">
      <c r="A319" s="12" t="n">
        <v>2020</v>
      </c>
      <c r="B319" s="12" t="n">
        <v>11</v>
      </c>
      <c r="C319" s="15" t="n">
        <v>0.0095</v>
      </c>
      <c r="D319" s="16" t="n">
        <f aca="false">D318*(1+C319)</f>
        <v>659.283880957788</v>
      </c>
    </row>
    <row r="320" customFormat="false" ht="15" hidden="false" customHeight="false" outlineLevel="0" collapsed="false">
      <c r="A320" s="12" t="n">
        <v>2020</v>
      </c>
      <c r="B320" s="12" t="n">
        <v>12</v>
      </c>
      <c r="C320" s="15" t="n">
        <v>0.0146</v>
      </c>
      <c r="D320" s="16" t="n">
        <f aca="false">D319*(1+C320)</f>
        <v>668.909425619771</v>
      </c>
    </row>
    <row r="321" customFormat="false" ht="15" hidden="false" customHeight="false" outlineLevel="0" collapsed="false">
      <c r="A321" s="12" t="n">
        <v>2021</v>
      </c>
      <c r="B321" s="12" t="n">
        <v>1</v>
      </c>
      <c r="C321" s="15" t="n">
        <v>0.0027</v>
      </c>
      <c r="D321" s="16" t="n">
        <f aca="false">D320*(1+C321)</f>
        <v>670.715481068945</v>
      </c>
    </row>
    <row r="322" customFormat="false" ht="15" hidden="false" customHeight="false" outlineLevel="0" collapsed="false">
      <c r="A322" s="12" t="n">
        <v>2021</v>
      </c>
      <c r="B322" s="12" t="n">
        <v>2</v>
      </c>
      <c r="C322" s="15" t="n">
        <v>0.0082</v>
      </c>
      <c r="D322" s="16" t="n">
        <f aca="false">D321*(1+C322)</f>
        <v>676.21534801371</v>
      </c>
    </row>
    <row r="323" customFormat="false" ht="15" hidden="false" customHeight="false" outlineLevel="0" collapsed="false">
      <c r="A323" s="12" t="n">
        <v>2021</v>
      </c>
      <c r="B323" s="12" t="n">
        <v>3</v>
      </c>
      <c r="C323" s="15" t="n">
        <v>0.0086</v>
      </c>
      <c r="D323" s="16" t="n">
        <f aca="false">D322*(1+C323)</f>
        <v>682.030800006628</v>
      </c>
    </row>
    <row r="324" customFormat="false" ht="15" hidden="false" customHeight="false" outlineLevel="0" collapsed="false">
      <c r="A324" s="12" t="n">
        <v>2021</v>
      </c>
      <c r="B324" s="12" t="n">
        <v>4</v>
      </c>
      <c r="C324" s="15" t="n">
        <v>0.0038</v>
      </c>
      <c r="D324" s="16" t="n">
        <f aca="false">D323*(1+C324)</f>
        <v>684.622517046653</v>
      </c>
    </row>
    <row r="325" customFormat="false" ht="15" hidden="false" customHeight="false" outlineLevel="0" collapsed="false">
      <c r="A325" s="12" t="n">
        <v>2021</v>
      </c>
      <c r="B325" s="12" t="n">
        <v>5</v>
      </c>
      <c r="C325" s="15" t="n">
        <v>0.0096</v>
      </c>
      <c r="D325" s="16" t="n">
        <f aca="false">D324*(1+C325)</f>
        <v>691.194893210301</v>
      </c>
    </row>
    <row r="326" customFormat="false" ht="15" hidden="false" customHeight="false" outlineLevel="0" collapsed="false">
      <c r="A326" s="12" t="n">
        <v>2021</v>
      </c>
      <c r="B326" s="12" t="n">
        <v>6</v>
      </c>
      <c r="C326" s="15" t="n">
        <v>0.006</v>
      </c>
      <c r="D326" s="16" t="n">
        <f aca="false">D325*(1+C326)</f>
        <v>695.342062569563</v>
      </c>
    </row>
    <row r="327" customFormat="false" ht="15" hidden="false" customHeight="false" outlineLevel="0" collapsed="false">
      <c r="A327" s="12" t="n">
        <v>2021</v>
      </c>
      <c r="B327" s="12" t="n">
        <v>7</v>
      </c>
      <c r="C327" s="15" t="n">
        <v>0.0102</v>
      </c>
      <c r="D327" s="16" t="n">
        <f aca="false">D326*(1+C327)</f>
        <v>702.434551607772</v>
      </c>
    </row>
    <row r="328" customFormat="false" ht="15" hidden="false" customHeight="false" outlineLevel="0" collapsed="false">
      <c r="A328" s="12" t="n">
        <v>2021</v>
      </c>
      <c r="B328" s="12" t="n">
        <v>8</v>
      </c>
      <c r="C328" s="15" t="n">
        <v>0.0088</v>
      </c>
      <c r="D328" s="16" t="n">
        <f aca="false">D327*(1+C328)</f>
        <v>708.615975661921</v>
      </c>
    </row>
    <row r="329" customFormat="false" ht="15" hidden="false" customHeight="false" outlineLevel="0" collapsed="false">
      <c r="A329" s="12" t="n">
        <v>2021</v>
      </c>
      <c r="B329" s="12" t="n">
        <v>9</v>
      </c>
      <c r="C329" s="15" t="n">
        <v>0.012</v>
      </c>
      <c r="D329" s="16" t="n">
        <f aca="false">D328*(1+C329)</f>
        <v>717.119367369864</v>
      </c>
    </row>
    <row r="330" customFormat="false" ht="15" hidden="false" customHeight="false" outlineLevel="0" collapsed="false">
      <c r="A330" s="12" t="n">
        <v>2021</v>
      </c>
      <c r="B330" s="12" t="n">
        <v>10</v>
      </c>
      <c r="C330" s="15" t="n">
        <v>0.0116</v>
      </c>
      <c r="D330" s="16" t="n">
        <f aca="false">D329*(1+C330)</f>
        <v>725.437952031354</v>
      </c>
    </row>
    <row r="331" customFormat="false" ht="15" hidden="false" customHeight="false" outlineLevel="0" collapsed="false">
      <c r="A331" s="12" t="n">
        <v>2021</v>
      </c>
      <c r="B331" s="12" t="n">
        <v>11</v>
      </c>
      <c r="C331" s="15" t="n">
        <v>0.0084</v>
      </c>
      <c r="D331" s="16" t="n">
        <f aca="false">D330*(1+C331)</f>
        <v>731.531630828418</v>
      </c>
    </row>
    <row r="332" customFormat="false" ht="15" hidden="false" customHeight="false" outlineLevel="0" collapsed="false">
      <c r="A332" s="12" t="n">
        <v>2021</v>
      </c>
      <c r="B332" s="12" t="n">
        <v>12</v>
      </c>
      <c r="C332" s="15" t="n">
        <v>0.0073</v>
      </c>
      <c r="D332" s="16" t="n">
        <f aca="false">D331*(1+C332)</f>
        <v>736.871811733465</v>
      </c>
    </row>
    <row r="333" customFormat="false" ht="15" hidden="false" customHeight="false" outlineLevel="0" collapsed="false">
      <c r="A333" s="12" t="n">
        <v>2022</v>
      </c>
      <c r="B333" s="12" t="n">
        <v>1</v>
      </c>
      <c r="C333" s="15" t="n">
        <v>0.0067</v>
      </c>
      <c r="D333" s="16" t="n">
        <f aca="false">D332*(1+C333)</f>
        <v>741.808852872079</v>
      </c>
    </row>
    <row r="334" customFormat="false" ht="15" hidden="false" customHeight="false" outlineLevel="0" collapsed="false">
      <c r="A334" s="12" t="n">
        <v>2022</v>
      </c>
      <c r="B334" s="12" t="n">
        <v>2</v>
      </c>
      <c r="C334" s="15" t="n">
        <v>0.01</v>
      </c>
      <c r="D334" s="16" t="n">
        <f aca="false">D333*(1+C334)</f>
        <v>749.2269414008</v>
      </c>
    </row>
    <row r="335" customFormat="false" ht="15" hidden="false" customHeight="false" outlineLevel="0" collapsed="false">
      <c r="A335" s="12" t="n">
        <v>2022</v>
      </c>
      <c r="B335" s="12" t="n">
        <v>3</v>
      </c>
      <c r="C335" s="15" t="n">
        <v>0.0171</v>
      </c>
      <c r="D335" s="16" t="n">
        <f aca="false">D334*(1+C335)</f>
        <v>762.038722098754</v>
      </c>
    </row>
    <row r="336" customFormat="false" ht="15" hidden="false" customHeight="false" outlineLevel="0" collapsed="false">
      <c r="A336" s="12" t="n">
        <v>2022</v>
      </c>
      <c r="B336" s="12" t="n">
        <v>4</v>
      </c>
      <c r="C336" s="15" t="n">
        <v>0.0104</v>
      </c>
      <c r="D336" s="16" t="n">
        <f aca="false">D335*(1+C336)</f>
        <v>769.963924808581</v>
      </c>
    </row>
    <row r="337" customFormat="false" ht="15" hidden="false" customHeight="false" outlineLevel="0" collapsed="false">
      <c r="A337" s="12" t="n">
        <v>2022</v>
      </c>
      <c r="B337" s="12" t="n">
        <v>5</v>
      </c>
      <c r="C337" s="15" t="n">
        <v>0.0045</v>
      </c>
      <c r="D337" s="16" t="n">
        <f aca="false">D336*(1+C337)</f>
        <v>773.428762470219</v>
      </c>
    </row>
    <row r="338" customFormat="false" ht="15" hidden="false" customHeight="false" outlineLevel="0" collapsed="false">
      <c r="A338" s="12" t="n">
        <v>2022</v>
      </c>
      <c r="B338" s="12" t="n">
        <v>6</v>
      </c>
      <c r="C338" s="15" t="n">
        <v>0.0062</v>
      </c>
      <c r="D338" s="16" t="n">
        <f aca="false">D337*(1+C338)</f>
        <v>778.224020797535</v>
      </c>
    </row>
    <row r="339" customFormat="false" ht="15" hidden="false" customHeight="false" outlineLevel="0" collapsed="false">
      <c r="A339" s="12" t="n">
        <v>2022</v>
      </c>
      <c r="B339" s="12" t="n">
        <v>7</v>
      </c>
      <c r="C339" s="15" t="n">
        <v>-0.006</v>
      </c>
      <c r="D339" s="16" t="n">
        <f aca="false">D338*(1+C339)</f>
        <v>773.554676672749</v>
      </c>
    </row>
    <row r="340" customFormat="false" ht="15" hidden="false" customHeight="false" outlineLevel="0" collapsed="false">
      <c r="A340" s="12" t="n">
        <v>2022</v>
      </c>
      <c r="B340" s="12" t="n">
        <v>8</v>
      </c>
      <c r="C340" s="15" t="n">
        <v>-0.0031</v>
      </c>
      <c r="D340" s="16" t="n">
        <f aca="false">D339*(1+C340)</f>
        <v>771.156657175064</v>
      </c>
    </row>
    <row r="341" customFormat="false" ht="15" hidden="false" customHeight="false" outlineLevel="0" collapsed="false">
      <c r="A341" s="12" t="n">
        <v>2022</v>
      </c>
      <c r="B341" s="12" t="n">
        <v>9</v>
      </c>
      <c r="C341" s="15" t="n">
        <v>-0.0032</v>
      </c>
      <c r="D341" s="16" t="n">
        <f aca="false">D340*(1+C341)</f>
        <v>768.688955872104</v>
      </c>
    </row>
    <row r="342" customFormat="false" ht="15" hidden="false" customHeight="false" outlineLevel="0" collapsed="false">
      <c r="A342" s="12" t="n">
        <v>2022</v>
      </c>
      <c r="B342" s="12" t="n">
        <v>10</v>
      </c>
      <c r="C342" s="15" t="n">
        <v>0.0047</v>
      </c>
      <c r="D342" s="16" t="n">
        <f aca="false">D341*(1+C342)</f>
        <v>772.301793964703</v>
      </c>
    </row>
    <row r="343" customFormat="false" ht="15" hidden="false" customHeight="false" outlineLevel="0" collapsed="false">
      <c r="A343" s="12" t="n">
        <v>2022</v>
      </c>
      <c r="B343" s="12" t="n">
        <v>11</v>
      </c>
      <c r="C343" s="15" t="n">
        <v>0.0038</v>
      </c>
      <c r="D343" s="16" t="n">
        <f aca="false">D342*(1+C343)</f>
        <v>775.236540781768</v>
      </c>
    </row>
    <row r="344" customFormat="false" ht="15" hidden="false" customHeight="false" outlineLevel="0" collapsed="false">
      <c r="A344" s="12" t="n">
        <v>2022</v>
      </c>
      <c r="B344" s="12" t="n">
        <v>12</v>
      </c>
      <c r="C344" s="15" t="n">
        <v>0.0069</v>
      </c>
      <c r="D344" s="16" t="n">
        <f aca="false">D343*(1+C344)</f>
        <v>780.585672913163</v>
      </c>
    </row>
    <row r="345" customFormat="false" ht="15" hidden="false" customHeight="false" outlineLevel="0" collapsed="false">
      <c r="A345" s="12" t="n">
        <v>2023</v>
      </c>
      <c r="B345" s="12" t="n">
        <v>1</v>
      </c>
      <c r="C345" s="15" t="n">
        <v>0.0046</v>
      </c>
      <c r="D345" s="16" t="n">
        <f aca="false">D344*(1+C345)</f>
        <v>784.176367008563</v>
      </c>
    </row>
    <row r="346" customFormat="false" ht="15" hidden="false" customHeight="false" outlineLevel="0" collapsed="false">
      <c r="A346" s="12" t="n">
        <v>2023</v>
      </c>
      <c r="B346" s="12" t="n">
        <v>2</v>
      </c>
      <c r="C346" s="15" t="n">
        <v>0.0077</v>
      </c>
      <c r="D346" s="16" t="n">
        <f aca="false">D345*(1+C346)</f>
        <v>790.214525034529</v>
      </c>
    </row>
    <row r="347" customFormat="false" ht="15" hidden="false" customHeight="false" outlineLevel="0" collapsed="false">
      <c r="A347" s="12" t="n">
        <v>2023</v>
      </c>
      <c r="B347" s="12" t="n">
        <v>3</v>
      </c>
      <c r="C347" s="15" t="n">
        <v>0.0064</v>
      </c>
      <c r="D347" s="16" t="n">
        <f aca="false">D346*(1+C347)</f>
        <v>795.27189799475</v>
      </c>
    </row>
    <row r="348" customFormat="false" ht="15" hidden="false" customHeight="false" outlineLevel="0" collapsed="false">
      <c r="A348" s="12" t="n">
        <v>2023</v>
      </c>
      <c r="B348" s="12" t="n">
        <v>4</v>
      </c>
      <c r="C348" s="15" t="n">
        <v>0.0053</v>
      </c>
      <c r="D348" s="16" t="n">
        <f aca="false">D347*(1+C348)</f>
        <v>799.486839054122</v>
      </c>
    </row>
    <row r="349" customFormat="false" ht="15" hidden="false" customHeight="false" outlineLevel="0" collapsed="false">
      <c r="A349" s="12" t="n">
        <v>2023</v>
      </c>
      <c r="B349" s="12" t="n">
        <v>5</v>
      </c>
      <c r="C349" s="15" t="n">
        <v>0.0036</v>
      </c>
      <c r="D349" s="16" t="n">
        <f aca="false">D348*(1+C349)</f>
        <v>802.364991674717</v>
      </c>
    </row>
    <row r="350" customFormat="false" ht="15" hidden="false" customHeight="false" outlineLevel="0" collapsed="false">
      <c r="A350" s="12" t="n">
        <v>2023</v>
      </c>
      <c r="B350" s="12" t="n">
        <v>6</v>
      </c>
      <c r="C350" s="15" t="n">
        <v>-0.001</v>
      </c>
      <c r="D350" s="16" t="n">
        <f aca="false">D349*(1+C350)</f>
        <v>801.562626683042</v>
      </c>
    </row>
    <row r="351" customFormat="false" ht="15" hidden="false" customHeight="false" outlineLevel="0" collapsed="false">
      <c r="A351" s="12" t="n">
        <v>2023</v>
      </c>
      <c r="B351" s="12" t="n">
        <v>7</v>
      </c>
      <c r="C351" s="15" t="n">
        <v>-0.0009</v>
      </c>
      <c r="D351" s="16" t="n">
        <f aca="false">D350*(1+C351)</f>
        <v>800.841220319028</v>
      </c>
    </row>
    <row r="352" customFormat="false" ht="15" hidden="false" customHeight="false" outlineLevel="0" collapsed="false">
      <c r="A352" s="12" t="n">
        <v>2023</v>
      </c>
      <c r="B352" s="12" t="n">
        <v>8</v>
      </c>
      <c r="C352" s="15" t="n">
        <v>0.002</v>
      </c>
      <c r="D352" s="16" t="n">
        <f aca="false">D351*(1+C352)</f>
        <v>802.442902759666</v>
      </c>
    </row>
    <row r="353" customFormat="false" ht="15" hidden="false" customHeight="false" outlineLevel="0" collapsed="false">
      <c r="A353" s="12" t="n">
        <v>2023</v>
      </c>
      <c r="B353" s="12" t="n">
        <v>9</v>
      </c>
      <c r="C353" s="15" t="n">
        <v>0.0011</v>
      </c>
      <c r="D353" s="16" t="n">
        <f aca="false">D352*(1+C353)</f>
        <v>803.325589952701</v>
      </c>
    </row>
    <row r="354" customFormat="false" ht="15" hidden="false" customHeight="false" outlineLevel="0" collapsed="false">
      <c r="A354" s="12" t="n">
        <v>2023</v>
      </c>
      <c r="B354" s="12" t="n">
        <v>10</v>
      </c>
      <c r="C354" s="15" t="n">
        <v>0.0012</v>
      </c>
      <c r="D354" s="16" t="n">
        <f aca="false">D353*(1+C354)</f>
        <v>804.289580660645</v>
      </c>
    </row>
    <row r="355" customFormat="false" ht="15" hidden="false" customHeight="false" outlineLevel="0" collapsed="false">
      <c r="A355" s="12" t="n">
        <v>2023</v>
      </c>
      <c r="B355" s="12" t="n">
        <v>11</v>
      </c>
      <c r="C355" s="15" t="n">
        <v>0.001</v>
      </c>
      <c r="D355" s="16" t="n">
        <f aca="false">D354*(1+C355)</f>
        <v>805.093870241305</v>
      </c>
    </row>
    <row r="356" customFormat="false" ht="15" hidden="false" customHeight="false" outlineLevel="0" collapsed="false">
      <c r="A356" s="12" t="n">
        <v>2023</v>
      </c>
      <c r="B356" s="12" t="n">
        <v>12</v>
      </c>
      <c r="C356" s="15" t="n">
        <v>0.0055</v>
      </c>
      <c r="D356" s="16" t="n">
        <f aca="false">D355*(1+C356)</f>
        <v>809.521886527632</v>
      </c>
    </row>
    <row r="357" customFormat="false" ht="15" hidden="false" customHeight="false" outlineLevel="0" collapsed="false">
      <c r="A357" s="12" t="n">
        <v>2024</v>
      </c>
      <c r="B357" s="12" t="n">
        <v>1</v>
      </c>
      <c r="C357" s="15" t="n">
        <v>0.0057</v>
      </c>
      <c r="D357" s="16" t="n">
        <f aca="false">D356*(1+C357)</f>
        <v>814.13616128084</v>
      </c>
    </row>
    <row r="358" customFormat="false" ht="15" hidden="false" customHeight="false" outlineLevel="0" collapsed="false">
      <c r="A358" s="12" t="n">
        <v>2024</v>
      </c>
      <c r="B358" s="12" t="n">
        <v>2</v>
      </c>
      <c r="C358" s="15" t="n">
        <v>0.0081</v>
      </c>
      <c r="D358" s="16" t="n">
        <f aca="false">D357*(1+C358)</f>
        <v>820.730664187215</v>
      </c>
    </row>
    <row r="359" customFormat="false" ht="15" hidden="false" customHeight="false" outlineLevel="0" collapsed="false">
      <c r="A359" s="12" t="n">
        <v>2024</v>
      </c>
      <c r="B359" s="12" t="n">
        <v>3</v>
      </c>
      <c r="C359" s="15" t="n">
        <v>0.0019</v>
      </c>
      <c r="D359" s="16" t="n">
        <f aca="false">D358*(1+C359)</f>
        <v>822.29005244917</v>
      </c>
    </row>
    <row r="360" customFormat="false" ht="15" hidden="false" customHeight="false" outlineLevel="0" collapsed="false">
      <c r="A360" s="12" t="n">
        <v>2024</v>
      </c>
      <c r="B360" s="12" t="n">
        <v>4</v>
      </c>
      <c r="C360" s="15" t="n">
        <v>0.0037</v>
      </c>
      <c r="D360" s="16" t="n">
        <f aca="false">D359*(1+C360)</f>
        <v>825.332525643232</v>
      </c>
    </row>
    <row r="361" customFormat="false" ht="15" hidden="false" customHeight="false" outlineLevel="0" collapsed="false">
      <c r="A361" s="12" t="n">
        <v>2024</v>
      </c>
      <c r="B361" s="12" t="n">
        <v>5</v>
      </c>
      <c r="C361" s="15" t="n">
        <v>0.0046</v>
      </c>
      <c r="D361" s="16" t="n">
        <f aca="false">D360*(1+C361)</f>
        <v>829.129055261191</v>
      </c>
    </row>
    <row r="362" customFormat="false" ht="15" hidden="false" customHeight="false" outlineLevel="0" collapsed="false">
      <c r="A362" s="12" t="n">
        <v>2024</v>
      </c>
      <c r="B362" s="12" t="n">
        <v>6</v>
      </c>
      <c r="C362" s="15" t="n">
        <v>0.0025</v>
      </c>
      <c r="D362" s="16" t="n">
        <f aca="false">D361*(1+C362)</f>
        <v>831.201877899344</v>
      </c>
    </row>
    <row r="363" customFormat="false" ht="15" hidden="false" customHeight="false" outlineLevel="0" collapsed="false">
      <c r="A363" s="12" t="n">
        <v>2024</v>
      </c>
      <c r="B363" s="12" t="n">
        <v>7</v>
      </c>
      <c r="C363" s="15" t="n">
        <v>0.0026</v>
      </c>
      <c r="D363" s="16" t="n">
        <f aca="false">D362*(1+C363)</f>
        <v>833.363002781882</v>
      </c>
    </row>
    <row r="364" customFormat="false" ht="15" hidden="false" customHeight="false" outlineLevel="0" collapsed="false">
      <c r="A364" s="12" t="n">
        <v>2024</v>
      </c>
      <c r="B364" s="12" t="n">
        <v>8</v>
      </c>
      <c r="C364" s="15" t="n">
        <v>-0.0014</v>
      </c>
      <c r="D364" s="16" t="n">
        <f aca="false">D363*(1+C364)</f>
        <v>832.196294577988</v>
      </c>
    </row>
    <row r="365" customFormat="false" ht="15" hidden="false" customHeight="false" outlineLevel="0" collapsed="false">
      <c r="A365" s="12" t="n">
        <v>2024</v>
      </c>
      <c r="B365" s="12" t="n">
        <v>9</v>
      </c>
      <c r="C365" s="15" t="n">
        <v>0.0048</v>
      </c>
      <c r="D365" s="16" t="n">
        <f aca="false">D364*(1+C365)</f>
        <v>836.190836791962</v>
      </c>
    </row>
    <row r="366" customFormat="false" ht="15" hidden="false" customHeight="false" outlineLevel="0" collapsed="false">
      <c r="A366" s="12" t="n">
        <v>2024</v>
      </c>
      <c r="B366" s="12" t="n">
        <v>10</v>
      </c>
      <c r="C366" s="15" t="n">
        <v>0.0061</v>
      </c>
      <c r="D366" s="16" t="n">
        <f aca="false">D365*(1+C366)</f>
        <v>841.291600896393</v>
      </c>
    </row>
    <row r="367" customFormat="false" ht="15" hidden="false" customHeight="false" outlineLevel="0" collapsed="false">
      <c r="A367" s="12" t="n">
        <v>2024</v>
      </c>
      <c r="B367" s="12" t="n">
        <v>11</v>
      </c>
      <c r="C367" s="15" t="n">
        <v>0.0033</v>
      </c>
      <c r="D367" s="16" t="n">
        <f aca="false">D366*(1+C367)</f>
        <v>844.067863179351</v>
      </c>
    </row>
    <row r="368" customFormat="false" ht="15" hidden="false" customHeight="false" outlineLevel="0" collapsed="false">
      <c r="A368" s="12" t="n">
        <v>2024</v>
      </c>
      <c r="B368" s="12" t="n">
        <v>12</v>
      </c>
      <c r="C368" s="15" t="n">
        <v>0.0048</v>
      </c>
      <c r="D368" s="16" t="n">
        <f aca="false">D367*(1+C368)</f>
        <v>848.119388922612</v>
      </c>
    </row>
    <row r="369" customFormat="false" ht="15" hidden="false" customHeight="false" outlineLevel="0" collapsed="false">
      <c r="A369" s="12" t="n">
        <v>2025</v>
      </c>
      <c r="B369" s="12" t="n">
        <v>1</v>
      </c>
      <c r="C369" s="15" t="n">
        <v>0</v>
      </c>
      <c r="D369" s="16" t="n">
        <f aca="false">D368*(1+C369)</f>
        <v>848.119388922612</v>
      </c>
    </row>
    <row r="370" customFormat="false" ht="15" hidden="false" customHeight="false" outlineLevel="0" collapsed="false">
      <c r="A370" s="12" t="n">
        <v>2025</v>
      </c>
      <c r="B370" s="12" t="n">
        <v>2</v>
      </c>
      <c r="C370" s="15" t="n">
        <v>0.0148</v>
      </c>
      <c r="D370" s="16" t="n">
        <f aca="false">D369*(1+C370)</f>
        <v>860.671555878667</v>
      </c>
    </row>
    <row r="371" customFormat="false" ht="15" hidden="false" customHeight="false" outlineLevel="0" collapsed="false">
      <c r="A371" s="12" t="n">
        <v>2025</v>
      </c>
      <c r="B371" s="12" t="n">
        <v>3</v>
      </c>
      <c r="C371" s="15" t="n">
        <v>0.0051</v>
      </c>
      <c r="D371" s="16" t="n">
        <f aca="false">D370*(1+C371)</f>
        <v>865.060980813648</v>
      </c>
    </row>
    <row r="372" customFormat="false" ht="15" hidden="false" customHeight="false" outlineLevel="0" collapsed="false">
      <c r="A372" s="12" t="n">
        <v>2025</v>
      </c>
      <c r="B372" s="12" t="n">
        <v>4</v>
      </c>
      <c r="C372" s="15" t="n">
        <v>0.0048</v>
      </c>
      <c r="D372" s="16" t="n">
        <f aca="false">D371*(1+C372)</f>
        <v>869.213273521553</v>
      </c>
    </row>
    <row r="373" customFormat="false" ht="15" hidden="false" customHeight="false" outlineLevel="0" collapsed="false">
      <c r="A373" s="12" t="n">
        <v>2025</v>
      </c>
      <c r="B373" s="12" t="n">
        <v>5</v>
      </c>
      <c r="C373" s="15" t="n">
        <v>0.0035</v>
      </c>
      <c r="D373" s="16" t="n">
        <f aca="false">D372*(1+C373)</f>
        <v>872.255519978879</v>
      </c>
    </row>
    <row r="374" customFormat="false" ht="15" hidden="false" customHeight="false" outlineLevel="0" collapsed="false">
      <c r="A374" s="12" t="n">
        <v>2025</v>
      </c>
      <c r="B374" s="12" t="n">
        <v>6</v>
      </c>
      <c r="C374" s="15" t="n">
        <v>0.0023</v>
      </c>
      <c r="D374" s="16" t="n">
        <f aca="false">D373*(1+C374)</f>
        <v>874.26170767483</v>
      </c>
    </row>
    <row r="375" customFormat="false" ht="15" hidden="false" customHeight="false" outlineLevel="0" collapsed="false">
      <c r="A375" s="12" t="n">
        <v>2025</v>
      </c>
      <c r="B375" s="12" t="n">
        <v>7</v>
      </c>
      <c r="C375" s="15" t="n">
        <v>0.0021</v>
      </c>
      <c r="D375" s="16" t="n">
        <f aca="false">D374*(1+C375)</f>
        <v>876.097657260948</v>
      </c>
    </row>
    <row r="376" customFormat="false" ht="15" hidden="false" customHeight="false" outlineLevel="0" collapsed="false">
      <c r="A376" s="12" t="n">
        <v>2025</v>
      </c>
      <c r="B376" s="12" t="n">
        <v>8</v>
      </c>
      <c r="C376" s="15" t="n">
        <v>-0.0021</v>
      </c>
      <c r="D376" s="16" t="n">
        <f aca="false">D375*(1+C376)</f>
        <v>874.2578521807</v>
      </c>
    </row>
    <row r="377" customFormat="false" ht="15" hidden="false" customHeight="false" outlineLevel="0" collapsed="false">
      <c r="A377" s="12" t="n">
        <v>2025</v>
      </c>
      <c r="B377" s="12" t="n">
        <v>9</v>
      </c>
      <c r="C377" s="15" t="n">
        <v>0.0052</v>
      </c>
      <c r="D377" s="16" t="n">
        <f aca="false">D376*(1+C377)</f>
        <v>878.803993012039</v>
      </c>
    </row>
    <row r="378" customFormat="false" ht="15" hidden="false" customHeight="false" outlineLevel="0" collapsed="false">
      <c r="A378" s="12" t="n">
        <v>2025</v>
      </c>
      <c r="B378" s="12" t="n">
        <v>10</v>
      </c>
      <c r="C378" s="15" t="n">
        <v>0.0003</v>
      </c>
      <c r="D378" s="16" t="n">
        <f aca="false">D377*(1+C378)</f>
        <v>879.067634209943</v>
      </c>
    </row>
    <row r="379" customFormat="false" ht="15" hidden="false" customHeight="false" outlineLevel="0" collapsed="false">
      <c r="A379" s="12" t="n">
        <v>2025</v>
      </c>
      <c r="B379" s="12" t="n">
        <v>11</v>
      </c>
      <c r="C379" s="15" t="n">
        <v>0.0003</v>
      </c>
      <c r="D379" s="16" t="n">
        <f aca="false">D378*(1+C379)</f>
        <v>879.331354500206</v>
      </c>
    </row>
    <row r="380" customFormat="false" ht="15" hidden="false" customHeight="false" outlineLevel="0" collapsed="false">
      <c r="A380" s="12" t="n">
        <v>2025</v>
      </c>
      <c r="B380" s="12" t="n">
        <v>12</v>
      </c>
      <c r="C380" s="15" t="n">
        <v>0.0021</v>
      </c>
      <c r="D380" s="16" t="n">
        <f aca="false">D379*(1+C380)</f>
        <v>881.177950344656</v>
      </c>
    </row>
    <row r="381" customFormat="false" ht="15" hidden="false" customHeight="false" outlineLevel="0" collapsed="false">
      <c r="A381" s="12" t="n">
        <v>2026</v>
      </c>
      <c r="B381" s="12" t="n">
        <v>1</v>
      </c>
      <c r="C381" s="15" t="n">
        <v>0.0039</v>
      </c>
      <c r="D381" s="16" t="n">
        <f aca="false">D380*(1+C381)</f>
        <v>884.614544351001</v>
      </c>
    </row>
    <row r="382" customFormat="false" ht="15" hidden="false" customHeight="false" outlineLevel="0" collapsed="false">
      <c r="A382" s="12" t="n">
        <v>2026</v>
      </c>
      <c r="B382" s="12" t="n">
        <v>2</v>
      </c>
      <c r="C382" s="15" t="n">
        <v>0.0056</v>
      </c>
      <c r="D382" s="16" t="n">
        <f aca="false">D381*(1+C382)</f>
        <v>889.568385799366</v>
      </c>
    </row>
    <row r="383" customFormat="false" ht="15" hidden="false" customHeight="false" outlineLevel="0" collapsed="false">
      <c r="A383" s="12" t="n">
        <v>2026</v>
      </c>
      <c r="B383" s="12" t="n">
        <v>3</v>
      </c>
      <c r="C383" s="15" t="n">
        <v>0.0091</v>
      </c>
      <c r="D383" s="16" t="n">
        <f aca="false">D382*(1+C383)</f>
        <v>897.663458110141</v>
      </c>
    </row>
    <row r="384" customFormat="false" ht="15" hidden="false" customHeight="false" outlineLevel="0" collapsed="false">
      <c r="A384" s="12" t="n">
        <v>2026</v>
      </c>
      <c r="B384" s="12" t="n">
        <v>4</v>
      </c>
      <c r="C384" s="15" t="n">
        <v>0.0081</v>
      </c>
      <c r="D384" s="16" t="n">
        <f aca="false">D383*(1+C384)</f>
        <v>904.934532120833</v>
      </c>
    </row>
    <row r="385" customFormat="false" ht="15" hidden="false" customHeight="false" outlineLevel="0" collapsed="false">
      <c r="A385" s="12" t="n">
        <v>2026</v>
      </c>
      <c r="B385" s="12" t="n">
        <v>5</v>
      </c>
      <c r="C385" s="15" t="n">
        <v>0.0065</v>
      </c>
      <c r="D385" s="16" t="n">
        <f aca="false">D384*(1+C385)</f>
        <v>910.816606579618</v>
      </c>
    </row>
    <row r="386" customFormat="false" ht="15" hidden="false" customHeight="false" outlineLevel="0" collapsed="false">
      <c r="A386" s="12" t="n">
        <v>2026</v>
      </c>
      <c r="B386" s="12" t="n">
        <v>6</v>
      </c>
      <c r="C386" s="15" t="n">
        <v>0.0014</v>
      </c>
      <c r="D386" s="16" t="n">
        <f aca="false">D385*(1+C386)</f>
        <v>912.09174982883</v>
      </c>
    </row>
    <row r="387" customFormat="false" ht="15" hidden="false" customHeight="false" outlineLevel="0" collapsed="false">
      <c r="A387" s="12" t="n">
        <v>2026</v>
      </c>
      <c r="B387" s="12" t="n">
        <v>7</v>
      </c>
      <c r="C387" s="15" t="n">
        <v>-0.0001</v>
      </c>
      <c r="D387" s="16" t="n">
        <f aca="false">D386*(1+C387)</f>
        <v>912.000540653847</v>
      </c>
    </row>
    <row r="388" customFormat="false" ht="15" hidden="false" customHeight="false" outlineLevel="0" collapsed="false">
      <c r="A388" s="12" t="n">
        <v>2026</v>
      </c>
      <c r="B388" s="12" t="n">
        <v>8</v>
      </c>
      <c r="C388" s="15" t="n">
        <v>-0.0032</v>
      </c>
      <c r="D388" s="16" t="n">
        <f aca="false">D387*(1+C388)</f>
        <v>909.082138923754</v>
      </c>
    </row>
    <row r="389" customFormat="false" ht="15" hidden="false" customHeight="false" outlineLevel="0" collapsed="false">
      <c r="A389" s="12" t="n">
        <v>2026</v>
      </c>
      <c r="B389" s="12" t="n">
        <v>9</v>
      </c>
      <c r="C389" s="15" t="n">
        <v>0.0082</v>
      </c>
      <c r="D389" s="16" t="n">
        <f aca="false">D388*(1+C389)</f>
        <v>916.536612462929</v>
      </c>
    </row>
    <row r="391" customFormat="false" ht="15" hidden="false" customHeight="false" outlineLevel="0" collapsed="false">
      <c r="A391" s="8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3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18"/>
    <col collapsed="false" customWidth="true" hidden="false" outlineLevel="0" max="11" min="11" style="0" width="14"/>
    <col collapsed="false" customWidth="true" hidden="false" outlineLevel="0" max="12" min="12" style="0" width="11"/>
  </cols>
  <sheetData>
    <row r="1" customFormat="false" ht="42" hidden="false" customHeight="true" outlineLevel="0" collapsed="false">
      <c r="A1" s="3" t="s">
        <v>52</v>
      </c>
      <c r="B1" s="3" t="s">
        <v>105</v>
      </c>
      <c r="C1" s="3" t="s">
        <v>106</v>
      </c>
      <c r="D1" s="3" t="s">
        <v>107</v>
      </c>
      <c r="E1" s="3" t="s">
        <v>108</v>
      </c>
      <c r="F1" s="3" t="s">
        <v>109</v>
      </c>
      <c r="G1" s="3" t="s">
        <v>110</v>
      </c>
      <c r="H1" s="3" t="s">
        <v>111</v>
      </c>
      <c r="I1" s="3" t="s">
        <v>112</v>
      </c>
      <c r="J1" s="3" t="s">
        <v>113</v>
      </c>
      <c r="K1" s="3" t="s">
        <v>114</v>
      </c>
      <c r="L1" s="3" t="s">
        <v>115</v>
      </c>
    </row>
    <row r="2" customFormat="false" ht="15" hidden="false" customHeight="false" outlineLevel="0" collapsed="false">
      <c r="A2" s="12" t="n">
        <v>1995</v>
      </c>
      <c r="B2" s="15" t="n">
        <v>0.2241</v>
      </c>
      <c r="C2" s="15" t="n">
        <v>0.2241</v>
      </c>
      <c r="D2" s="19" t="n">
        <f aca="false">(C2-B2)*100</f>
        <v>0</v>
      </c>
      <c r="E2" s="20" t="n">
        <f aca="false">100*(1+B2)</f>
        <v>122.41</v>
      </c>
      <c r="F2" s="21" t="n">
        <v>122.41</v>
      </c>
      <c r="G2" s="19" t="n">
        <f aca="false">E2-F2</f>
        <v>0</v>
      </c>
      <c r="H2" s="17" t="n">
        <f aca="false">Dados_anuais!E2</f>
        <v>0.0327</v>
      </c>
      <c r="I2" s="20" t="n">
        <f aca="false">100*(1+H2)</f>
        <v>103.27</v>
      </c>
      <c r="J2" s="20" t="n">
        <f aca="false">I2/E2*100</f>
        <v>84.3640225471775</v>
      </c>
      <c r="K2" s="21" t="n">
        <v>84.36</v>
      </c>
      <c r="L2" s="19" t="n">
        <f aca="false">J2-K2</f>
        <v>0.00402254717751305</v>
      </c>
    </row>
    <row r="3" customFormat="false" ht="15" hidden="false" customHeight="false" outlineLevel="0" collapsed="false">
      <c r="A3" s="12" t="n">
        <v>1996</v>
      </c>
      <c r="B3" s="15" t="n">
        <v>0.0956</v>
      </c>
      <c r="C3" s="15" t="n">
        <v>0.0956</v>
      </c>
      <c r="D3" s="19" t="n">
        <f aca="false">(C3-B3)*100</f>
        <v>0</v>
      </c>
      <c r="E3" s="20" t="n">
        <f aca="false">E2*(1+B3)</f>
        <v>134.112396</v>
      </c>
      <c r="F3" s="21" t="n">
        <v>134.11</v>
      </c>
      <c r="G3" s="19" t="n">
        <f aca="false">E3-F3</f>
        <v>0.00239599999997608</v>
      </c>
      <c r="H3" s="17" t="n">
        <f aca="false">Dados_anuais!E3</f>
        <v>0.0956</v>
      </c>
      <c r="I3" s="20" t="n">
        <f aca="false">I2*(1+H3)</f>
        <v>113.142612</v>
      </c>
      <c r="J3" s="20" t="n">
        <f aca="false">I3/E3*100</f>
        <v>84.3640225471775</v>
      </c>
      <c r="K3" s="21" t="n">
        <v>84.36</v>
      </c>
      <c r="L3" s="19" t="n">
        <f aca="false">J3-K3</f>
        <v>0.00402254717751305</v>
      </c>
    </row>
    <row r="4" customFormat="false" ht="15" hidden="false" customHeight="false" outlineLevel="0" collapsed="false">
      <c r="A4" s="12" t="n">
        <v>1997</v>
      </c>
      <c r="B4" s="15" t="n">
        <v>0.0522</v>
      </c>
      <c r="C4" s="15" t="n">
        <v>0.0522</v>
      </c>
      <c r="D4" s="19" t="n">
        <f aca="false">(C4-B4)*100</f>
        <v>0</v>
      </c>
      <c r="E4" s="20" t="n">
        <f aca="false">E3*(1+B4)</f>
        <v>141.1130630712</v>
      </c>
      <c r="F4" s="21" t="n">
        <v>141.11</v>
      </c>
      <c r="G4" s="19" t="n">
        <f aca="false">E4-F4</f>
        <v>0.00306307119998905</v>
      </c>
      <c r="H4" s="17" t="n">
        <f aca="false">Dados_anuais!E4</f>
        <v>0.05</v>
      </c>
      <c r="I4" s="20" t="n">
        <f aca="false">I3*(1+H4)</f>
        <v>118.7997426</v>
      </c>
      <c r="J4" s="20" t="n">
        <f aca="false">I4/E4*100</f>
        <v>84.1876294188713</v>
      </c>
      <c r="K4" s="21" t="n">
        <v>84.19</v>
      </c>
      <c r="L4" s="19" t="n">
        <f aca="false">J4-K4</f>
        <v>-0.00237058112870159</v>
      </c>
    </row>
    <row r="5" customFormat="false" ht="15" hidden="false" customHeight="false" outlineLevel="0" collapsed="false">
      <c r="A5" s="12" t="n">
        <v>1998</v>
      </c>
      <c r="B5" s="15" t="n">
        <v>0.0165</v>
      </c>
      <c r="C5" s="15" t="n">
        <v>0.0165</v>
      </c>
      <c r="D5" s="19" t="n">
        <f aca="false">(C5-B5)*100</f>
        <v>0</v>
      </c>
      <c r="E5" s="20" t="n">
        <f aca="false">E4*(1+B5)</f>
        <v>143.441428611875</v>
      </c>
      <c r="F5" s="21" t="n">
        <v>143.44</v>
      </c>
      <c r="G5" s="19" t="n">
        <f aca="false">E5-F5</f>
        <v>0.00142861187478616</v>
      </c>
      <c r="H5" s="17" t="n">
        <f aca="false">Dados_anuais!E5</f>
        <v>0.02</v>
      </c>
      <c r="I5" s="20" t="n">
        <f aca="false">I4*(1+H5)</f>
        <v>121.175737452</v>
      </c>
      <c r="J5" s="20" t="n">
        <f aca="false">I5/E5*100</f>
        <v>84.4775032043765</v>
      </c>
      <c r="K5" s="21" t="n">
        <v>84.48</v>
      </c>
      <c r="L5" s="19" t="n">
        <f aca="false">J5-K5</f>
        <v>-0.00249679562348604</v>
      </c>
    </row>
    <row r="6" customFormat="false" ht="15" hidden="false" customHeight="false" outlineLevel="0" collapsed="false">
      <c r="A6" s="12" t="n">
        <v>1999</v>
      </c>
      <c r="B6" s="15" t="n">
        <v>0.0894</v>
      </c>
      <c r="C6" s="15" t="n">
        <v>0.0894</v>
      </c>
      <c r="D6" s="19" t="n">
        <f aca="false">(C6-B6)*100</f>
        <v>0</v>
      </c>
      <c r="E6" s="20" t="n">
        <f aca="false">E5*(1+B6)</f>
        <v>156.265092329776</v>
      </c>
      <c r="F6" s="21" t="n">
        <v>156.27</v>
      </c>
      <c r="G6" s="19" t="n">
        <f aca="false">E6-F6</f>
        <v>-0.0049076702236448</v>
      </c>
      <c r="H6" s="17" t="n">
        <f aca="false">Dados_anuais!E6</f>
        <v>0.02</v>
      </c>
      <c r="I6" s="20" t="n">
        <f aca="false">I5*(1+H6)</f>
        <v>123.59925220104</v>
      </c>
      <c r="J6" s="20" t="n">
        <f aca="false">I6/E6*100</f>
        <v>79.0958814654526</v>
      </c>
      <c r="K6" s="21" t="n">
        <v>79.1</v>
      </c>
      <c r="L6" s="19" t="n">
        <f aca="false">J6-K6</f>
        <v>-0.00411853454738775</v>
      </c>
    </row>
    <row r="7" customFormat="false" ht="15" hidden="false" customHeight="false" outlineLevel="0" collapsed="false">
      <c r="A7" s="12" t="n">
        <v>2000</v>
      </c>
      <c r="B7" s="15" t="n">
        <v>0.0597</v>
      </c>
      <c r="C7" s="15" t="n">
        <v>0.0597</v>
      </c>
      <c r="D7" s="19" t="n">
        <f aca="false">(C7-B7)*100</f>
        <v>0</v>
      </c>
      <c r="E7" s="20" t="n">
        <f aca="false">E6*(1+B7)</f>
        <v>165.594118341864</v>
      </c>
      <c r="F7" s="21" t="n">
        <v>165.59</v>
      </c>
      <c r="G7" s="19" t="n">
        <f aca="false">E7-F7</f>
        <v>0.00411834186402871</v>
      </c>
      <c r="H7" s="17" t="n">
        <f aca="false">Dados_anuais!E7</f>
        <v>0.03</v>
      </c>
      <c r="I7" s="20" t="n">
        <f aca="false">I6*(1+H7)</f>
        <v>127.307229767071</v>
      </c>
      <c r="J7" s="20" t="n">
        <f aca="false">I7/E7*100</f>
        <v>76.8790770118111</v>
      </c>
      <c r="K7" s="21" t="n">
        <v>76.88</v>
      </c>
      <c r="L7" s="19" t="n">
        <f aca="false">J7-K7</f>
        <v>-0.00092298818893255</v>
      </c>
    </row>
    <row r="8" customFormat="false" ht="15" hidden="false" customHeight="false" outlineLevel="0" collapsed="false">
      <c r="A8" s="12" t="n">
        <v>2001</v>
      </c>
      <c r="B8" s="15" t="n">
        <v>0.0767</v>
      </c>
      <c r="C8" s="15" t="n">
        <v>0.0767</v>
      </c>
      <c r="D8" s="19" t="n">
        <f aca="false">(C8-B8)*100</f>
        <v>0</v>
      </c>
      <c r="E8" s="20" t="n">
        <f aca="false">E7*(1+B8)</f>
        <v>178.295187218685</v>
      </c>
      <c r="F8" s="21" t="n">
        <v>178.3</v>
      </c>
      <c r="G8" s="19" t="n">
        <f aca="false">E8-F8</f>
        <v>-0.00481278131499607</v>
      </c>
      <c r="H8" s="17" t="n">
        <f aca="false">Dados_anuais!E8</f>
        <v>0.06</v>
      </c>
      <c r="I8" s="20" t="n">
        <f aca="false">I7*(1+H8)</f>
        <v>134.945663553095</v>
      </c>
      <c r="J8" s="20" t="n">
        <f aca="false">I8/E8*100</f>
        <v>75.6866551801985</v>
      </c>
      <c r="K8" s="21" t="n">
        <v>75.69</v>
      </c>
      <c r="L8" s="19" t="n">
        <f aca="false">J8-K8</f>
        <v>-0.00334481980151224</v>
      </c>
    </row>
    <row r="9" customFormat="false" ht="15" hidden="false" customHeight="false" outlineLevel="0" collapsed="false">
      <c r="A9" s="12" t="n">
        <v>2002</v>
      </c>
      <c r="B9" s="15" t="n">
        <v>0.1253</v>
      </c>
      <c r="C9" s="15" t="n">
        <v>0.1253</v>
      </c>
      <c r="D9" s="19" t="n">
        <f aca="false">(C9-B9)*100</f>
        <v>0</v>
      </c>
      <c r="E9" s="20" t="n">
        <f aca="false">E8*(1+B9)</f>
        <v>200.635574177186</v>
      </c>
      <c r="F9" s="21" t="n">
        <v>200.64</v>
      </c>
      <c r="G9" s="19" t="n">
        <f aca="false">E9-F9</f>
        <v>-0.00442582281374371</v>
      </c>
      <c r="H9" s="17" t="n">
        <f aca="false">Dados_anuais!E9</f>
        <v>0.04</v>
      </c>
      <c r="I9" s="20" t="n">
        <f aca="false">I8*(1+H9)</f>
        <v>140.343490095219</v>
      </c>
      <c r="J9" s="20" t="n">
        <f aca="false">I9/E9*100</f>
        <v>69.9494547119936</v>
      </c>
      <c r="K9" s="21" t="n">
        <v>69.95</v>
      </c>
      <c r="L9" s="19" t="n">
        <f aca="false">J9-K9</f>
        <v>-0.000545288006364331</v>
      </c>
    </row>
    <row r="10" customFormat="false" ht="15" hidden="false" customHeight="false" outlineLevel="0" collapsed="false">
      <c r="A10" s="12" t="n">
        <v>2003</v>
      </c>
      <c r="B10" s="15" t="n">
        <v>0.093</v>
      </c>
      <c r="C10" s="15" t="n">
        <v>0.093</v>
      </c>
      <c r="D10" s="19" t="n">
        <f aca="false">(C10-B10)*100</f>
        <v>0</v>
      </c>
      <c r="E10" s="20" t="n">
        <f aca="false">E9*(1+B10)</f>
        <v>219.294682575665</v>
      </c>
      <c r="F10" s="21" t="n">
        <v>219.29</v>
      </c>
      <c r="G10" s="19" t="n">
        <f aca="false">E10-F10</f>
        <v>0.00468257566456032</v>
      </c>
      <c r="H10" s="17" t="n">
        <f aca="false">Dados_anuais!E10</f>
        <v>0.06</v>
      </c>
      <c r="I10" s="20" t="n">
        <f aca="false">I9*(1+H10)</f>
        <v>148.764099500932</v>
      </c>
      <c r="J10" s="20" t="n">
        <f aca="false">I10/E10*100</f>
        <v>67.8375315596645</v>
      </c>
      <c r="K10" s="21" t="n">
        <v>67.84</v>
      </c>
      <c r="L10" s="19" t="n">
        <f aca="false">J10-K10</f>
        <v>-0.00246844033551952</v>
      </c>
    </row>
    <row r="11" customFormat="false" ht="15" hidden="false" customHeight="false" outlineLevel="0" collapsed="false">
      <c r="A11" s="12" t="n">
        <v>2004</v>
      </c>
      <c r="B11" s="15" t="n">
        <v>0.076</v>
      </c>
      <c r="C11" s="15" t="n">
        <v>0.076</v>
      </c>
      <c r="D11" s="19" t="n">
        <f aca="false">(C11-B11)*100</f>
        <v>0</v>
      </c>
      <c r="E11" s="20" t="n">
        <f aca="false">E10*(1+B11)</f>
        <v>235.961078451415</v>
      </c>
      <c r="F11" s="21" t="n">
        <v>235.96</v>
      </c>
      <c r="G11" s="19" t="n">
        <f aca="false">E11-F11</f>
        <v>0.00107845141505436</v>
      </c>
      <c r="H11" s="17" t="n">
        <f aca="false">Dados_anuais!E11</f>
        <v>0.0681</v>
      </c>
      <c r="I11" s="20" t="n">
        <f aca="false">I10*(1+H11)</f>
        <v>158.894934676946</v>
      </c>
      <c r="J11" s="20" t="n">
        <f aca="false">I11/E11*100</f>
        <v>67.3394678985852</v>
      </c>
      <c r="K11" s="21" t="n">
        <v>67.34</v>
      </c>
      <c r="L11" s="19" t="n">
        <f aca="false">J11-K11</f>
        <v>-0.00053210141484783</v>
      </c>
    </row>
    <row r="12" customFormat="false" ht="15" hidden="false" customHeight="false" outlineLevel="0" collapsed="false">
      <c r="A12" s="12" t="n">
        <v>2005</v>
      </c>
      <c r="B12" s="15" t="n">
        <v>0.0569</v>
      </c>
      <c r="C12" s="15" t="n">
        <v>0.0569</v>
      </c>
      <c r="D12" s="19" t="n">
        <f aca="false">(C12-B12)*100</f>
        <v>0</v>
      </c>
      <c r="E12" s="20" t="n">
        <f aca="false">E11*(1+B12)</f>
        <v>249.387263815301</v>
      </c>
      <c r="F12" s="21" t="n">
        <v>249.39</v>
      </c>
      <c r="G12" s="19" t="n">
        <f aca="false">E12-F12</f>
        <v>-0.00273618469941539</v>
      </c>
      <c r="H12" s="17" t="n">
        <f aca="false">Dados_anuais!E12</f>
        <v>0.0707</v>
      </c>
      <c r="I12" s="20" t="n">
        <f aca="false">I11*(1+H12)</f>
        <v>170.128806558606</v>
      </c>
      <c r="J12" s="20" t="n">
        <f aca="false">I12/E12*100</f>
        <v>68.2187229435284</v>
      </c>
      <c r="K12" s="21" t="n">
        <v>68.22</v>
      </c>
      <c r="L12" s="19" t="n">
        <f aca="false">J12-K12</f>
        <v>-0.00127705647165044</v>
      </c>
    </row>
    <row r="13" customFormat="false" ht="15" hidden="false" customHeight="false" outlineLevel="0" collapsed="false">
      <c r="A13" s="12" t="n">
        <v>2006</v>
      </c>
      <c r="B13" s="15" t="n">
        <v>0.0314</v>
      </c>
      <c r="C13" s="15" t="n">
        <v>0.0314</v>
      </c>
      <c r="D13" s="19" t="n">
        <f aca="false">(C13-B13)*100</f>
        <v>0</v>
      </c>
      <c r="E13" s="20" t="n">
        <f aca="false">E12*(1+B13)</f>
        <v>257.218023899101</v>
      </c>
      <c r="F13" s="21" t="n">
        <v>257.22</v>
      </c>
      <c r="G13" s="19" t="n">
        <f aca="false">E13-F13</f>
        <v>-0.00197610089901445</v>
      </c>
      <c r="H13" s="17" t="n">
        <f aca="false">Dados_anuais!E13</f>
        <v>0</v>
      </c>
      <c r="I13" s="20" t="n">
        <f aca="false">I12*(1+H13)</f>
        <v>170.128806558606</v>
      </c>
      <c r="J13" s="20" t="n">
        <f aca="false">I13/E13*100</f>
        <v>66.1418682795505</v>
      </c>
      <c r="K13" s="21" t="n">
        <v>66.14</v>
      </c>
      <c r="L13" s="19" t="n">
        <f aca="false">J13-K13</f>
        <v>0.00186827955047875</v>
      </c>
    </row>
    <row r="14" customFormat="false" ht="15" hidden="false" customHeight="false" outlineLevel="0" collapsed="false">
      <c r="A14" s="12" t="n">
        <v>2007</v>
      </c>
      <c r="B14" s="15" t="n">
        <v>0.0446</v>
      </c>
      <c r="C14" s="15" t="n">
        <v>0.0446</v>
      </c>
      <c r="D14" s="19" t="n">
        <f aca="false">(C14-B14)*100</f>
        <v>0</v>
      </c>
      <c r="E14" s="20" t="n">
        <f aca="false">E13*(1+B14)</f>
        <v>268.689947765001</v>
      </c>
      <c r="F14" s="21" t="n">
        <v>268.69</v>
      </c>
      <c r="G14" s="19" t="n">
        <f aca="false">E14-F14</f>
        <v>-5.2234999088796E-005</v>
      </c>
      <c r="H14" s="17" t="n">
        <f aca="false">Dados_anuais!E14</f>
        <v>0.0374</v>
      </c>
      <c r="I14" s="20" t="n">
        <f aca="false">I13*(1+H14)</f>
        <v>176.491623923898</v>
      </c>
      <c r="J14" s="20" t="n">
        <f aca="false">I14/E14*100</f>
        <v>65.685979468893</v>
      </c>
      <c r="K14" s="21" t="n">
        <v>65.69</v>
      </c>
      <c r="L14" s="19" t="n">
        <f aca="false">J14-K14</f>
        <v>-0.00402053110695988</v>
      </c>
    </row>
    <row r="15" customFormat="false" ht="15" hidden="false" customHeight="false" outlineLevel="0" collapsed="false">
      <c r="A15" s="12" t="n">
        <v>2008</v>
      </c>
      <c r="B15" s="15" t="n">
        <v>0.059</v>
      </c>
      <c r="C15" s="15" t="n">
        <v>0.059</v>
      </c>
      <c r="D15" s="19" t="n">
        <f aca="false">(C15-B15)*100</f>
        <v>0</v>
      </c>
      <c r="E15" s="20" t="n">
        <f aca="false">E14*(1+B15)</f>
        <v>284.542654683136</v>
      </c>
      <c r="F15" s="21" t="n">
        <v>284.54</v>
      </c>
      <c r="G15" s="19" t="n">
        <f aca="false">E15-F15</f>
        <v>0.00265468313591555</v>
      </c>
      <c r="H15" s="17" t="n">
        <f aca="false">Dados_anuais!E15</f>
        <v>0.0737</v>
      </c>
      <c r="I15" s="20" t="n">
        <f aca="false">I14*(1+H15)</f>
        <v>189.499056607089</v>
      </c>
      <c r="J15" s="20" t="n">
        <f aca="false">I15/E15*100</f>
        <v>66.5977678524556</v>
      </c>
      <c r="K15" s="21" t="n">
        <v>66.6</v>
      </c>
      <c r="L15" s="19" t="n">
        <f aca="false">J15-K15</f>
        <v>-0.00223214754440448</v>
      </c>
    </row>
    <row r="16" customFormat="false" ht="15" hidden="false" customHeight="false" outlineLevel="0" collapsed="false">
      <c r="A16" s="12" t="n">
        <v>2009</v>
      </c>
      <c r="B16" s="15" t="n">
        <v>0.0431</v>
      </c>
      <c r="C16" s="15" t="n">
        <v>0.0431</v>
      </c>
      <c r="D16" s="19" t="n">
        <f aca="false">(C16-B16)*100</f>
        <v>0</v>
      </c>
      <c r="E16" s="20" t="n">
        <f aca="false">E15*(1+B16)</f>
        <v>296.806443099979</v>
      </c>
      <c r="F16" s="21" t="n">
        <v>296.81</v>
      </c>
      <c r="G16" s="19" t="n">
        <f aca="false">E16-F16</f>
        <v>-0.00355690002095344</v>
      </c>
      <c r="H16" s="17" t="n">
        <f aca="false">Dados_anuais!E16</f>
        <v>0.09</v>
      </c>
      <c r="I16" s="20" t="n">
        <f aca="false">I15*(1+H16)</f>
        <v>206.553971701727</v>
      </c>
      <c r="J16" s="20" t="n">
        <f aca="false">I16/E16*100</f>
        <v>69.5921454886172</v>
      </c>
      <c r="K16" s="21" t="n">
        <v>69.59</v>
      </c>
      <c r="L16" s="19" t="n">
        <f aca="false">J16-K16</f>
        <v>0.00214548861718811</v>
      </c>
    </row>
    <row r="17" customFormat="false" ht="15" hidden="false" customHeight="false" outlineLevel="0" collapsed="false">
      <c r="A17" s="12" t="n">
        <v>2010</v>
      </c>
      <c r="B17" s="15" t="n">
        <v>0.0591</v>
      </c>
      <c r="C17" s="15" t="n">
        <v>0.0591</v>
      </c>
      <c r="D17" s="19" t="n">
        <f aca="false">(C17-B17)*100</f>
        <v>0</v>
      </c>
      <c r="E17" s="20" t="n">
        <f aca="false">E16*(1+B17)</f>
        <v>314.347703887188</v>
      </c>
      <c r="F17" s="21" t="n">
        <v>314.35</v>
      </c>
      <c r="G17" s="19" t="n">
        <f aca="false">E17-F17</f>
        <v>-0.00229611281224607</v>
      </c>
      <c r="H17" s="17" t="n">
        <f aca="false">Dados_anuais!E17</f>
        <v>0</v>
      </c>
      <c r="I17" s="20" t="n">
        <f aca="false">I16*(1+H17)</f>
        <v>206.553971701727</v>
      </c>
      <c r="J17" s="20" t="n">
        <f aca="false">I17/E17*100</f>
        <v>65.7087578969098</v>
      </c>
      <c r="K17" s="21" t="n">
        <v>65.71</v>
      </c>
      <c r="L17" s="19" t="n">
        <f aca="false">J17-K17</f>
        <v>-0.00124210309014927</v>
      </c>
    </row>
    <row r="18" customFormat="false" ht="15" hidden="false" customHeight="false" outlineLevel="0" collapsed="false">
      <c r="A18" s="12" t="n">
        <v>2011</v>
      </c>
      <c r="B18" s="15" t="n">
        <v>0.065</v>
      </c>
      <c r="C18" s="15" t="n">
        <v>0.065</v>
      </c>
      <c r="D18" s="19" t="n">
        <f aca="false">(C18-B18)*100</f>
        <v>0</v>
      </c>
      <c r="E18" s="20" t="n">
        <f aca="false">E17*(1+B18)</f>
        <v>334.780304639855</v>
      </c>
      <c r="F18" s="21" t="n">
        <v>334.78</v>
      </c>
      <c r="G18" s="19" t="n">
        <f aca="false">E18-F18</f>
        <v>0.000304639855016831</v>
      </c>
      <c r="H18" s="17" t="n">
        <f aca="false">Dados_anuais!E18</f>
        <v>0.0687</v>
      </c>
      <c r="I18" s="20" t="n">
        <f aca="false">I17*(1+H18)</f>
        <v>220.744229557636</v>
      </c>
      <c r="J18" s="20" t="n">
        <f aca="false">I18/E18*100</f>
        <v>65.9370418445329</v>
      </c>
      <c r="K18" s="21" t="n">
        <v>65.94</v>
      </c>
      <c r="L18" s="19" t="n">
        <f aca="false">J18-K18</f>
        <v>-0.00295815546709832</v>
      </c>
    </row>
    <row r="19" customFormat="false" ht="15" hidden="false" customHeight="false" outlineLevel="0" collapsed="false">
      <c r="A19" s="12" t="n">
        <v>2012</v>
      </c>
      <c r="B19" s="15" t="n">
        <v>0.0584</v>
      </c>
      <c r="C19" s="15" t="n">
        <v>0.0584</v>
      </c>
      <c r="D19" s="19" t="n">
        <f aca="false">(C19-B19)*100</f>
        <v>0</v>
      </c>
      <c r="E19" s="20" t="n">
        <f aca="false">E18*(1+B19)</f>
        <v>354.331474430823</v>
      </c>
      <c r="F19" s="21" t="n">
        <v>354.33</v>
      </c>
      <c r="G19" s="19" t="n">
        <f aca="false">E19-F19</f>
        <v>0.0014744308225545</v>
      </c>
      <c r="H19" s="17" t="n">
        <f aca="false">Dados_anuais!E19</f>
        <v>0.065</v>
      </c>
      <c r="I19" s="20" t="n">
        <f aca="false">I18*(1+H19)</f>
        <v>235.092604478882</v>
      </c>
      <c r="J19" s="20" t="n">
        <f aca="false">I19/E19*100</f>
        <v>66.3482138741757</v>
      </c>
      <c r="K19" s="21" t="n">
        <v>66.35</v>
      </c>
      <c r="L19" s="19" t="n">
        <f aca="false">J19-K19</f>
        <v>-0.00178612582432436</v>
      </c>
    </row>
    <row r="20" customFormat="false" ht="15" hidden="false" customHeight="false" outlineLevel="0" collapsed="false">
      <c r="A20" s="12" t="n">
        <v>2013</v>
      </c>
      <c r="B20" s="15" t="n">
        <v>0.0591</v>
      </c>
      <c r="C20" s="15" t="n">
        <v>0.0591</v>
      </c>
      <c r="D20" s="19" t="n">
        <f aca="false">(C20-B20)*100</f>
        <v>0</v>
      </c>
      <c r="E20" s="20" t="n">
        <f aca="false">E19*(1+B20)</f>
        <v>375.272464569684</v>
      </c>
      <c r="F20" s="21" t="n">
        <v>375.27</v>
      </c>
      <c r="G20" s="19" t="n">
        <f aca="false">E20-F20</f>
        <v>0.00246456968415032</v>
      </c>
      <c r="H20" s="17" t="n">
        <f aca="false">Dados_anuais!E20</f>
        <v>0.08</v>
      </c>
      <c r="I20" s="20" t="n">
        <f aca="false">I19*(1+H20)</f>
        <v>253.900012837193</v>
      </c>
      <c r="J20" s="20" t="n">
        <f aca="false">I20/E20*100</f>
        <v>67.6575120235197</v>
      </c>
      <c r="K20" s="21" t="n">
        <v>67.66</v>
      </c>
      <c r="L20" s="19" t="n">
        <f aca="false">J20-K20</f>
        <v>-0.00248797648026766</v>
      </c>
    </row>
    <row r="21" customFormat="false" ht="15" hidden="false" customHeight="false" outlineLevel="0" collapsed="false">
      <c r="A21" s="12" t="n">
        <v>2014</v>
      </c>
      <c r="B21" s="15" t="n">
        <v>0.0641</v>
      </c>
      <c r="C21" s="15" t="n">
        <v>0.0641</v>
      </c>
      <c r="D21" s="19" t="n">
        <f aca="false">(C21-B21)*100</f>
        <v>0</v>
      </c>
      <c r="E21" s="20" t="n">
        <f aca="false">E20*(1+B21)</f>
        <v>399.327429548601</v>
      </c>
      <c r="F21" s="21" t="n">
        <v>399.33</v>
      </c>
      <c r="G21" s="19" t="n">
        <f aca="false">E21-F21</f>
        <v>-0.00257045139909451</v>
      </c>
      <c r="H21" s="17" t="n">
        <f aca="false">Dados_anuais!E21</f>
        <v>0.065</v>
      </c>
      <c r="I21" s="20" t="n">
        <f aca="false">I20*(1+H21)</f>
        <v>270.40351367161</v>
      </c>
      <c r="J21" s="20" t="n">
        <f aca="false">I21/E21*100</f>
        <v>67.7147357438667</v>
      </c>
      <c r="K21" s="21" t="n">
        <v>67.71</v>
      </c>
      <c r="L21" s="19" t="n">
        <f aca="false">J21-K21</f>
        <v>0.00473574386666087</v>
      </c>
    </row>
    <row r="22" customFormat="false" ht="15" hidden="false" customHeight="false" outlineLevel="0" collapsed="false">
      <c r="A22" s="12" t="n">
        <v>2015</v>
      </c>
      <c r="B22" s="15" t="n">
        <v>0.1067</v>
      </c>
      <c r="C22" s="15" t="n">
        <v>0.1067</v>
      </c>
      <c r="D22" s="19" t="n">
        <f aca="false">(C22-B22)*100</f>
        <v>0</v>
      </c>
      <c r="E22" s="20" t="n">
        <f aca="false">E21*(1+B22)</f>
        <v>441.935666281437</v>
      </c>
      <c r="F22" s="21" t="n">
        <v>441.94</v>
      </c>
      <c r="G22" s="19" t="n">
        <f aca="false">E22-F22</f>
        <v>-0.00433371856337317</v>
      </c>
      <c r="H22" s="17" t="n">
        <f aca="false">Dados_anuais!E22</f>
        <v>0</v>
      </c>
      <c r="I22" s="20" t="n">
        <f aca="false">I21*(1+H22)</f>
        <v>270.40351367161</v>
      </c>
      <c r="J22" s="20" t="n">
        <f aca="false">I22/E22*100</f>
        <v>61.1861712694196</v>
      </c>
      <c r="K22" s="21" t="n">
        <v>61.19</v>
      </c>
      <c r="L22" s="19" t="n">
        <f aca="false">J22-K22</f>
        <v>-0.00382873058042321</v>
      </c>
    </row>
    <row r="23" customFormat="false" ht="15" hidden="false" customHeight="false" outlineLevel="0" collapsed="false">
      <c r="A23" s="12" t="n">
        <v>2016</v>
      </c>
      <c r="B23" s="15" t="n">
        <v>0.0629</v>
      </c>
      <c r="C23" s="15" t="n">
        <v>0.0629</v>
      </c>
      <c r="D23" s="19" t="n">
        <f aca="false">(C23-B23)*100</f>
        <v>0</v>
      </c>
      <c r="E23" s="20" t="n">
        <f aca="false">E22*(1+B23)</f>
        <v>469.733419690539</v>
      </c>
      <c r="F23" s="21" t="n">
        <v>469.73</v>
      </c>
      <c r="G23" s="19" t="n">
        <f aca="false">E23-F23</f>
        <v>0.00341969053897628</v>
      </c>
      <c r="H23" s="17" t="n">
        <f aca="false">Dados_anuais!E23</f>
        <v>0.09</v>
      </c>
      <c r="I23" s="20" t="n">
        <f aca="false">I22*(1+H23)</f>
        <v>294.739829902055</v>
      </c>
      <c r="J23" s="20" t="n">
        <f aca="false">I23/E23*100</f>
        <v>62.7461912538031</v>
      </c>
      <c r="K23" s="21" t="n">
        <v>62.75</v>
      </c>
      <c r="L23" s="19" t="n">
        <f aca="false">J23-K23</f>
        <v>-0.00380874619686722</v>
      </c>
    </row>
    <row r="24" customFormat="false" ht="15" hidden="false" customHeight="false" outlineLevel="0" collapsed="false">
      <c r="A24" s="12" t="n">
        <v>2017</v>
      </c>
      <c r="B24" s="15" t="n">
        <v>0.0295</v>
      </c>
      <c r="C24" s="15" t="n">
        <v>0.0295</v>
      </c>
      <c r="D24" s="19" t="n">
        <f aca="false">(C24-B24)*100</f>
        <v>0</v>
      </c>
      <c r="E24" s="20" t="n">
        <f aca="false">E23*(1+B24)</f>
        <v>483.59055557141</v>
      </c>
      <c r="F24" s="21" t="n">
        <v>483.59</v>
      </c>
      <c r="G24" s="19" t="n">
        <f aca="false">E24-F24</f>
        <v>0.000555571409961431</v>
      </c>
      <c r="H24" s="17" t="n">
        <f aca="false">Dados_anuais!E24</f>
        <v>0.0207</v>
      </c>
      <c r="I24" s="20" t="n">
        <f aca="false">I23*(1+H24)</f>
        <v>300.840944381028</v>
      </c>
      <c r="J24" s="20" t="n">
        <f aca="false">I24/E24*100</f>
        <v>62.2098469283699</v>
      </c>
      <c r="K24" s="21" t="n">
        <v>62.21</v>
      </c>
      <c r="L24" s="19" t="n">
        <f aca="false">J24-K24</f>
        <v>-0.000153071630073498</v>
      </c>
    </row>
    <row r="25" customFormat="false" ht="15" hidden="false" customHeight="false" outlineLevel="0" collapsed="false">
      <c r="A25" s="12" t="n">
        <v>2018</v>
      </c>
      <c r="B25" s="15" t="n">
        <v>0.0375</v>
      </c>
      <c r="C25" s="15" t="n">
        <v>0.0375</v>
      </c>
      <c r="D25" s="19" t="n">
        <f aca="false">(C25-B25)*100</f>
        <v>0</v>
      </c>
      <c r="E25" s="20" t="n">
        <f aca="false">E24*(1+B25)</f>
        <v>501.725201405338</v>
      </c>
      <c r="F25" s="21" t="n">
        <v>501.73</v>
      </c>
      <c r="G25" s="19" t="n">
        <f aca="false">E25-F25</f>
        <v>-0.00479859466219068</v>
      </c>
      <c r="H25" s="17" t="n">
        <f aca="false">Dados_anuais!E25</f>
        <v>0.0361</v>
      </c>
      <c r="I25" s="20" t="n">
        <f aca="false">I24*(1+H25)</f>
        <v>311.701302473183</v>
      </c>
      <c r="J25" s="20" t="n">
        <f aca="false">I25/E25*100</f>
        <v>62.125901110828</v>
      </c>
      <c r="K25" s="21" t="n">
        <v>62.13</v>
      </c>
      <c r="L25" s="19" t="n">
        <f aca="false">J25-K25</f>
        <v>-0.00409888917196355</v>
      </c>
    </row>
    <row r="26" customFormat="false" ht="15" hidden="false" customHeight="false" outlineLevel="0" collapsed="false">
      <c r="A26" s="12" t="n">
        <v>2019</v>
      </c>
      <c r="B26" s="15" t="n">
        <v>0.0431</v>
      </c>
      <c r="C26" s="15" t="n">
        <v>0.0431</v>
      </c>
      <c r="D26" s="19" t="n">
        <f aca="false">(C26-B26)*100</f>
        <v>0</v>
      </c>
      <c r="E26" s="20" t="n">
        <f aca="false">E25*(1+B26)</f>
        <v>523.349557585908</v>
      </c>
      <c r="F26" s="21" t="n">
        <v>523.35</v>
      </c>
      <c r="G26" s="19" t="n">
        <f aca="false">E26-F26</f>
        <v>-0.000442414092162835</v>
      </c>
      <c r="H26" s="17" t="n">
        <f aca="false">Dados_anuais!E26</f>
        <v>0.03</v>
      </c>
      <c r="I26" s="20" t="n">
        <f aca="false">I25*(1+H26)</f>
        <v>321.052341547379</v>
      </c>
      <c r="J26" s="20" t="n">
        <f aca="false">I26/E26*100</f>
        <v>61.3456793635825</v>
      </c>
      <c r="K26" s="21" t="n">
        <v>61.35</v>
      </c>
      <c r="L26" s="19" t="n">
        <f aca="false">J26-K26</f>
        <v>-0.00432063641751768</v>
      </c>
    </row>
    <row r="27" customFormat="false" ht="15" hidden="false" customHeight="false" outlineLevel="0" collapsed="false">
      <c r="A27" s="12" t="n">
        <v>2020</v>
      </c>
      <c r="B27" s="15" t="n">
        <v>0.0452</v>
      </c>
      <c r="C27" s="15" t="n">
        <v>0.0452</v>
      </c>
      <c r="D27" s="19" t="n">
        <f aca="false">(C27-B27)*100</f>
        <v>0</v>
      </c>
      <c r="E27" s="20" t="n">
        <f aca="false">E26*(1+B27)</f>
        <v>547.004957588791</v>
      </c>
      <c r="F27" s="21" t="n">
        <v>547</v>
      </c>
      <c r="G27" s="19" t="n">
        <f aca="false">E27-F27</f>
        <v>0.00495758879083041</v>
      </c>
      <c r="H27" s="17" t="n">
        <f aca="false">Dados_anuais!E27</f>
        <v>0.026</v>
      </c>
      <c r="I27" s="20" t="n">
        <f aca="false">I26*(1+H27)</f>
        <v>329.39970242761</v>
      </c>
      <c r="J27" s="20" t="n">
        <f aca="false">I27/E27*100</f>
        <v>60.2187782501298</v>
      </c>
      <c r="K27" s="21" t="n">
        <v>60.22</v>
      </c>
      <c r="L27" s="19" t="n">
        <f aca="false">J27-K27</f>
        <v>-0.00122174987023271</v>
      </c>
    </row>
    <row r="28" customFormat="false" ht="15" hidden="false" customHeight="false" outlineLevel="0" collapsed="false">
      <c r="A28" s="12" t="n">
        <v>2021</v>
      </c>
      <c r="B28" s="15" t="n">
        <v>0.1006</v>
      </c>
      <c r="C28" s="15" t="n">
        <v>0.1006</v>
      </c>
      <c r="D28" s="19" t="n">
        <f aca="false">(C28-B28)*100</f>
        <v>0</v>
      </c>
      <c r="E28" s="20" t="n">
        <f aca="false">E27*(1+B28)</f>
        <v>602.033656322223</v>
      </c>
      <c r="F28" s="21" t="n">
        <v>602.03</v>
      </c>
      <c r="G28" s="19" t="n">
        <f aca="false">E28-F28</f>
        <v>0.0036563222232644</v>
      </c>
      <c r="H28" s="17" t="n">
        <f aca="false">Dados_anuais!E28</f>
        <v>0.0975</v>
      </c>
      <c r="I28" s="20" t="n">
        <f aca="false">I27*(1+H28)</f>
        <v>361.516173414302</v>
      </c>
      <c r="J28" s="20" t="n">
        <f aca="false">I28/E28*100</f>
        <v>60.0491633013969</v>
      </c>
      <c r="K28" s="21" t="n">
        <v>60.05</v>
      </c>
      <c r="L28" s="19" t="n">
        <f aca="false">J28-K28</f>
        <v>-0.000836698603109198</v>
      </c>
    </row>
    <row r="29" customFormat="false" ht="15" hidden="false" customHeight="false" outlineLevel="0" collapsed="false">
      <c r="A29" s="12" t="n">
        <v>2022</v>
      </c>
      <c r="B29" s="15" t="n">
        <v>0.0579</v>
      </c>
      <c r="C29" s="15" t="n">
        <v>0.0579</v>
      </c>
      <c r="D29" s="19" t="n">
        <f aca="false">(C29-B29)*100</f>
        <v>0</v>
      </c>
      <c r="E29" s="20" t="n">
        <f aca="false">E28*(1+B29)</f>
        <v>636.89140502328</v>
      </c>
      <c r="F29" s="21" t="n">
        <v>636.89</v>
      </c>
      <c r="G29" s="19" t="n">
        <f aca="false">E29-F29</f>
        <v>0.00140502327997183</v>
      </c>
      <c r="H29" s="17" t="n">
        <f aca="false">Dados_anuais!E29</f>
        <v>0.1012</v>
      </c>
      <c r="I29" s="20" t="n">
        <f aca="false">I28*(1+H29)</f>
        <v>398.10161016383</v>
      </c>
      <c r="J29" s="20" t="n">
        <f aca="false">I29/E29*100</f>
        <v>62.5069842400021</v>
      </c>
      <c r="K29" s="21" t="n">
        <v>62.51</v>
      </c>
      <c r="L29" s="19" t="n">
        <f aca="false">J29-K29</f>
        <v>-0.00301575999787218</v>
      </c>
    </row>
    <row r="30" customFormat="false" ht="15" hidden="false" customHeight="false" outlineLevel="0" collapsed="false">
      <c r="A30" s="12" t="n">
        <v>2023</v>
      </c>
      <c r="B30" s="15" t="n">
        <v>0.0462</v>
      </c>
      <c r="C30" s="15" t="n">
        <v>0.0462</v>
      </c>
      <c r="D30" s="19" t="n">
        <f aca="false">(C30-B30)*100</f>
        <v>0</v>
      </c>
      <c r="E30" s="20" t="n">
        <f aca="false">E29*(1+B30)</f>
        <v>666.315787935356</v>
      </c>
      <c r="F30" s="21" t="n">
        <v>666.32</v>
      </c>
      <c r="G30" s="19" t="n">
        <f aca="false">E30-F30</f>
        <v>-0.00421206464454826</v>
      </c>
      <c r="H30" s="17" t="n">
        <f aca="false">Dados_anuais!E30</f>
        <v>0.0318</v>
      </c>
      <c r="I30" s="20" t="n">
        <f aca="false">I29*(1+H30)</f>
        <v>410.76124136704</v>
      </c>
      <c r="J30" s="20" t="n">
        <f aca="false">I30/E30*100</f>
        <v>61.6466319430646</v>
      </c>
      <c r="K30" s="21" t="n">
        <v>61.65</v>
      </c>
      <c r="L30" s="19" t="n">
        <f aca="false">J30-K30</f>
        <v>-0.00336805693538622</v>
      </c>
    </row>
    <row r="31" customFormat="false" ht="15" hidden="false" customHeight="false" outlineLevel="0" collapsed="false">
      <c r="A31" s="12" t="n">
        <v>2024</v>
      </c>
      <c r="B31" s="15" t="n">
        <v>0.0483</v>
      </c>
      <c r="C31" s="15" t="n">
        <v>0.0483</v>
      </c>
      <c r="D31" s="19" t="n">
        <f aca="false">(C31-B31)*100</f>
        <v>0</v>
      </c>
      <c r="E31" s="20" t="n">
        <f aca="false">E30*(1+B31)</f>
        <v>698.498840492633</v>
      </c>
      <c r="F31" s="21" t="n">
        <v>698.5</v>
      </c>
      <c r="G31" s="19" t="n">
        <f aca="false">E31-F31</f>
        <v>-0.00115950736676496</v>
      </c>
      <c r="H31" s="17" t="n">
        <f aca="false">Dados_anuais!E31</f>
        <v>0.0435</v>
      </c>
      <c r="I31" s="20" t="n">
        <f aca="false">I30*(1+H31)</f>
        <v>428.629355366506</v>
      </c>
      <c r="J31" s="20" t="n">
        <f aca="false">I31/E31*100</f>
        <v>61.3643617595993</v>
      </c>
      <c r="K31" s="21" t="n">
        <v>61.36</v>
      </c>
      <c r="L31" s="19" t="n">
        <f aca="false">J31-K31</f>
        <v>0.00436175959927709</v>
      </c>
    </row>
    <row r="32" customFormat="false" ht="15" hidden="false" customHeight="false" outlineLevel="0" collapsed="false">
      <c r="A32" s="12" t="n">
        <v>2025</v>
      </c>
      <c r="B32" s="15" t="n">
        <v>0.0426</v>
      </c>
      <c r="C32" s="15" t="n">
        <v>0.051</v>
      </c>
      <c r="D32" s="19" t="n">
        <f aca="false">(C32-B32)*100</f>
        <v>0.84</v>
      </c>
      <c r="E32" s="20" t="n">
        <f aca="false">E31*(1+B32)</f>
        <v>728.254891097619</v>
      </c>
      <c r="F32" s="21" t="n">
        <v>734.12</v>
      </c>
      <c r="G32" s="19" t="n">
        <f aca="false">E32-F32</f>
        <v>-5.8651089023806</v>
      </c>
      <c r="H32" s="17" t="n">
        <f aca="false">Dados_anuais!E32</f>
        <v>0.051</v>
      </c>
      <c r="I32" s="20" t="n">
        <f aca="false">I31*(1+H32)</f>
        <v>450.489452490198</v>
      </c>
      <c r="J32" s="20" t="n">
        <f aca="false">I32/E32*100</f>
        <v>61.8587609911172</v>
      </c>
      <c r="K32" s="21" t="n">
        <v>61.36</v>
      </c>
      <c r="L32" s="19" t="n">
        <f aca="false">J32-K32</f>
        <v>0.498760991117244</v>
      </c>
    </row>
    <row r="33" customFormat="false" ht="15" hidden="false" customHeight="false" outlineLevel="0" collapsed="false">
      <c r="A33" s="12" t="n">
        <v>2026</v>
      </c>
      <c r="B33" s="15" t="n">
        <v>0.0395</v>
      </c>
      <c r="C33" s="15" t="n">
        <v>0.0409</v>
      </c>
      <c r="D33" s="19" t="n">
        <f aca="false">(C33-B33)*100</f>
        <v>0.14</v>
      </c>
      <c r="E33" s="20" t="n">
        <f aca="false">E32*(1+B33)</f>
        <v>757.020959295975</v>
      </c>
      <c r="F33" s="21" t="n">
        <v>764.15</v>
      </c>
      <c r="G33" s="19" t="n">
        <f aca="false">E33-F33</f>
        <v>-7.12904070402453</v>
      </c>
      <c r="H33" s="17" t="n">
        <f aca="false">Dados_anuais!E33</f>
        <v>0.0409</v>
      </c>
      <c r="I33" s="20" t="n">
        <f aca="false">I32*(1+H33)</f>
        <v>468.914471097047</v>
      </c>
      <c r="J33" s="20" t="n">
        <f aca="false">I33/E33*100</f>
        <v>61.9420724537315</v>
      </c>
      <c r="K33" s="21" t="n">
        <v>61.36</v>
      </c>
      <c r="L33" s="19" t="n">
        <f aca="false">J33-K33</f>
        <v>0.582072453731534</v>
      </c>
    </row>
    <row r="35" customFormat="false" ht="15" hidden="false" customHeight="false" outlineLevel="0" collapsed="false">
      <c r="A35" s="8" t="s">
        <v>116</v>
      </c>
    </row>
    <row r="36" customFormat="false" ht="15" hidden="false" customHeight="false" outlineLevel="0" collapsed="false">
      <c r="A36" s="8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52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22"/>
    <col collapsed="false" customWidth="true" hidden="false" outlineLevel="0" max="7" min="7" style="0" width="18"/>
    <col collapsed="false" customWidth="true" hidden="false" outlineLevel="0" max="8" min="8" style="0" width="40"/>
  </cols>
  <sheetData>
    <row r="1" customFormat="false" ht="17.35" hidden="false" customHeight="false" outlineLevel="0" collapsed="false">
      <c r="A1" s="1" t="s">
        <v>118</v>
      </c>
    </row>
    <row r="2" customFormat="false" ht="15" hidden="false" customHeight="false" outlineLevel="0" collapsed="false">
      <c r="A2" s="2" t="s">
        <v>119</v>
      </c>
    </row>
    <row r="4" customFormat="false" ht="43.5" hidden="false" customHeight="true" outlineLevel="0" collapsed="false">
      <c r="A4" s="3" t="s">
        <v>52</v>
      </c>
      <c r="B4" s="3" t="s">
        <v>120</v>
      </c>
      <c r="C4" s="3" t="s">
        <v>121</v>
      </c>
      <c r="D4" s="3" t="s">
        <v>122</v>
      </c>
      <c r="E4" s="3" t="s">
        <v>123</v>
      </c>
      <c r="F4" s="3" t="s">
        <v>124</v>
      </c>
      <c r="G4" s="3" t="s">
        <v>125</v>
      </c>
      <c r="H4" s="3" t="s">
        <v>27</v>
      </c>
    </row>
    <row r="5" customFormat="false" ht="15" hidden="false" customHeight="false" outlineLevel="0" collapsed="false">
      <c r="A5" s="22" t="n">
        <v>1997</v>
      </c>
      <c r="B5" s="23" t="n">
        <v>0.05</v>
      </c>
      <c r="C5" s="22" t="s">
        <v>66</v>
      </c>
      <c r="D5" s="22" t="s">
        <v>126</v>
      </c>
      <c r="E5" s="24"/>
      <c r="F5" s="24"/>
      <c r="G5" s="25" t="str">
        <f aca="false">IF(AND(ISNUMBER(E5),ISNUMBER(F5),F5&gt;0),E5/F5,"")</f>
        <v/>
      </c>
      <c r="H5" s="22"/>
    </row>
    <row r="6" customFormat="false" ht="15" hidden="false" customHeight="false" outlineLevel="0" collapsed="false">
      <c r="A6" s="22" t="n">
        <v>1998</v>
      </c>
      <c r="B6" s="23" t="n">
        <v>0.02</v>
      </c>
      <c r="C6" s="22" t="s">
        <v>67</v>
      </c>
      <c r="D6" s="22" t="s">
        <v>126</v>
      </c>
      <c r="E6" s="24"/>
      <c r="F6" s="24"/>
      <c r="G6" s="25" t="str">
        <f aca="false">IF(AND(ISNUMBER(E6),ISNUMBER(F6),F6&gt;0),E6/F6,"")</f>
        <v/>
      </c>
      <c r="H6" s="22"/>
    </row>
    <row r="7" customFormat="false" ht="15" hidden="false" customHeight="false" outlineLevel="0" collapsed="false">
      <c r="A7" s="22" t="n">
        <v>1999</v>
      </c>
      <c r="B7" s="23" t="n">
        <v>0.02</v>
      </c>
      <c r="C7" s="22" t="s">
        <v>68</v>
      </c>
      <c r="D7" s="22" t="s">
        <v>126</v>
      </c>
      <c r="E7" s="24"/>
      <c r="F7" s="24"/>
      <c r="G7" s="25" t="str">
        <f aca="false">IF(AND(ISNUMBER(E7),ISNUMBER(F7),F7&gt;0),E7/F7,"")</f>
        <v/>
      </c>
      <c r="H7" s="22"/>
    </row>
    <row r="8" customFormat="false" ht="15" hidden="false" customHeight="false" outlineLevel="0" collapsed="false">
      <c r="A8" s="22" t="n">
        <v>2000</v>
      </c>
      <c r="B8" s="23" t="n">
        <v>0.03</v>
      </c>
      <c r="C8" s="22" t="s">
        <v>69</v>
      </c>
      <c r="D8" s="22" t="s">
        <v>126</v>
      </c>
      <c r="E8" s="24"/>
      <c r="F8" s="24"/>
      <c r="G8" s="25" t="str">
        <f aca="false">IF(AND(ISNUMBER(E8),ISNUMBER(F8),F8&gt;0),E8/F8,"")</f>
        <v/>
      </c>
      <c r="H8" s="22"/>
    </row>
    <row r="9" customFormat="false" ht="15" hidden="false" customHeight="false" outlineLevel="0" collapsed="false">
      <c r="A9" s="22" t="n">
        <v>2001</v>
      </c>
      <c r="B9" s="23" t="n">
        <v>0.06</v>
      </c>
      <c r="C9" s="22" t="s">
        <v>70</v>
      </c>
      <c r="D9" s="22" t="s">
        <v>126</v>
      </c>
      <c r="E9" s="24"/>
      <c r="F9" s="24"/>
      <c r="G9" s="25" t="str">
        <f aca="false">IF(AND(ISNUMBER(E9),ISNUMBER(F9),F9&gt;0),E9/F9,"")</f>
        <v/>
      </c>
      <c r="H9" s="22"/>
    </row>
    <row r="10" customFormat="false" ht="15" hidden="false" customHeight="false" outlineLevel="0" collapsed="false">
      <c r="A10" s="22" t="n">
        <v>2002</v>
      </c>
      <c r="B10" s="23" t="n">
        <v>0.04</v>
      </c>
      <c r="C10" s="22" t="s">
        <v>71</v>
      </c>
      <c r="D10" s="22" t="s">
        <v>126</v>
      </c>
      <c r="E10" s="24"/>
      <c r="F10" s="24"/>
      <c r="G10" s="25" t="str">
        <f aca="false">IF(AND(ISNUMBER(E10),ISNUMBER(F10),F10&gt;0),E10/F10,"")</f>
        <v/>
      </c>
      <c r="H10" s="22"/>
    </row>
    <row r="11" customFormat="false" ht="15" hidden="false" customHeight="false" outlineLevel="0" collapsed="false">
      <c r="A11" s="22" t="n">
        <v>2004</v>
      </c>
      <c r="B11" s="23" t="n">
        <v>0.0681</v>
      </c>
      <c r="C11" s="22" t="s">
        <v>74</v>
      </c>
      <c r="D11" s="22" t="s">
        <v>126</v>
      </c>
      <c r="E11" s="24"/>
      <c r="F11" s="24"/>
      <c r="G11" s="25" t="str">
        <f aca="false">IF(AND(ISNUMBER(E11),ISNUMBER(F11),F11&gt;0),E11/F11,"")</f>
        <v/>
      </c>
      <c r="H11" s="22"/>
    </row>
    <row r="12" customFormat="false" ht="15" hidden="false" customHeight="false" outlineLevel="0" collapsed="false">
      <c r="A12" s="22" t="n">
        <v>2007</v>
      </c>
      <c r="B12" s="23" t="n">
        <v>0.0374</v>
      </c>
      <c r="C12" s="22" t="s">
        <v>77</v>
      </c>
      <c r="D12" s="22" t="s">
        <v>126</v>
      </c>
      <c r="E12" s="24"/>
      <c r="F12" s="24"/>
      <c r="G12" s="25" t="str">
        <f aca="false">IF(AND(ISNUMBER(E12),ISNUMBER(F12),F12&gt;0),E12/F12,"")</f>
        <v/>
      </c>
      <c r="H12" s="22"/>
    </row>
    <row r="13" customFormat="false" ht="15" hidden="false" customHeight="false" outlineLevel="0" collapsed="false">
      <c r="A13" s="22" t="n">
        <v>2009</v>
      </c>
      <c r="B13" s="23" t="n">
        <v>0.09</v>
      </c>
      <c r="C13" s="22" t="s">
        <v>79</v>
      </c>
      <c r="D13" s="22" t="s">
        <v>126</v>
      </c>
      <c r="E13" s="24"/>
      <c r="F13" s="24"/>
      <c r="G13" s="25" t="str">
        <f aca="false">IF(AND(ISNUMBER(E13),ISNUMBER(F13),F13&gt;0),E13/F13,"")</f>
        <v/>
      </c>
      <c r="H13" s="22"/>
    </row>
    <row r="14" customFormat="false" ht="15" hidden="false" customHeight="false" outlineLevel="0" collapsed="false">
      <c r="A14" s="22" t="n">
        <v>2011</v>
      </c>
      <c r="B14" s="23" t="n">
        <v>0.0687</v>
      </c>
      <c r="C14" s="22" t="s">
        <v>82</v>
      </c>
      <c r="D14" s="22" t="s">
        <v>126</v>
      </c>
      <c r="E14" s="24"/>
      <c r="F14" s="24"/>
      <c r="G14" s="25" t="str">
        <f aca="false">IF(AND(ISNUMBER(E14),ISNUMBER(F14),F14&gt;0),E14/F14,"")</f>
        <v/>
      </c>
      <c r="H14" s="22"/>
    </row>
    <row r="16" customFormat="false" ht="15" hidden="false" customHeight="false" outlineLevel="0" collapsed="false">
      <c r="A16" s="2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6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128</v>
      </c>
    </row>
    <row r="3" customFormat="false" ht="42" hidden="false" customHeight="true" outlineLevel="0" collapsed="false">
      <c r="A3" s="3" t="s">
        <v>129</v>
      </c>
      <c r="B3" s="3" t="s">
        <v>130</v>
      </c>
      <c r="C3" s="3" t="s">
        <v>131</v>
      </c>
      <c r="D3" s="3" t="s">
        <v>107</v>
      </c>
      <c r="E3" s="3" t="s">
        <v>132</v>
      </c>
      <c r="F3" s="3" t="s">
        <v>133</v>
      </c>
    </row>
    <row r="4" customFormat="false" ht="15" hidden="false" customHeight="false" outlineLevel="0" collapsed="false">
      <c r="A4" s="11" t="s">
        <v>134</v>
      </c>
      <c r="B4" s="13" t="n">
        <f aca="false">Dados_anuais!G29</f>
        <v>0.101248044963326</v>
      </c>
      <c r="C4" s="15" t="n">
        <v>0.1012</v>
      </c>
      <c r="D4" s="19" t="n">
        <f aca="false">(B4-C4)*100</f>
        <v>0.00480449633255137</v>
      </c>
      <c r="E4" s="11" t="str">
        <f aca="false">IF(ABS(D4)&lt;=0.015,"OK","REVISAR")</f>
        <v>OK</v>
      </c>
      <c r="F4" s="7" t="s">
        <v>135</v>
      </c>
    </row>
    <row r="5" customFormat="false" ht="15" hidden="false" customHeight="false" outlineLevel="0" collapsed="false">
      <c r="A5" s="11" t="s">
        <v>136</v>
      </c>
      <c r="B5" s="13" t="n">
        <f aca="false">Dados_anuais!G30</f>
        <v>0.0352742274969422</v>
      </c>
      <c r="C5" s="15" t="n">
        <v>0.0353</v>
      </c>
      <c r="D5" s="19" t="n">
        <f aca="false">(B5-C5)*100</f>
        <v>-0.00257725030577971</v>
      </c>
      <c r="E5" s="11" t="str">
        <f aca="false">IF(ABS(D5)&lt;=0.015,"OK","REVISAR")</f>
        <v>OK</v>
      </c>
      <c r="F5" s="7" t="s">
        <v>137</v>
      </c>
    </row>
    <row r="6" customFormat="false" ht="15" hidden="false" customHeight="false" outlineLevel="0" collapsed="false">
      <c r="A6" s="11" t="s">
        <v>138</v>
      </c>
      <c r="B6" s="13" t="n">
        <f aca="false">Dados_anuais!G33</f>
        <v>0.0409804581662125</v>
      </c>
      <c r="C6" s="15" t="n">
        <v>0.041</v>
      </c>
      <c r="D6" s="19" t="n">
        <f aca="false">(B6-C6)*100</f>
        <v>-0.00195418337874606</v>
      </c>
      <c r="E6" s="11" t="str">
        <f aca="false">IF(ABS(D6)&lt;=0.015,"OK","REVISAR")</f>
        <v>OK</v>
      </c>
      <c r="F6" s="7" t="s">
        <v>139</v>
      </c>
    </row>
    <row r="7" customFormat="false" ht="15" hidden="false" customHeight="false" outlineLevel="0" collapsed="false">
      <c r="A7" s="11" t="s">
        <v>140</v>
      </c>
      <c r="B7" s="13" t="n">
        <f aca="false">Dados_anuais!F32</f>
        <v>0.0389786648599548</v>
      </c>
      <c r="C7" s="15" t="n">
        <v>0.039</v>
      </c>
      <c r="D7" s="19" t="n">
        <f aca="false">(B7-C7)*100</f>
        <v>-0.00213351400451742</v>
      </c>
      <c r="E7" s="11" t="str">
        <f aca="false">IF(ABS(D7)&lt;=0.015,"OK","REVISAR")</f>
        <v>OK</v>
      </c>
      <c r="F7" s="7" t="s">
        <v>141</v>
      </c>
    </row>
    <row r="9" customFormat="false" ht="23.85" hidden="false" customHeight="false" outlineLevel="0" collapsed="false">
      <c r="A9" s="9" t="s">
        <v>142</v>
      </c>
      <c r="B9" s="26" t="n">
        <f aca="false">MAX(ABS(Dados_anuais!F2-0.2198),ABS(Dados_anuais!F3-0.0912),ABS(Dados_anuais!F4-0.0434),ABS(Dados_anuais!F5-0.0249),ABS(Dados_anuais!F6-0.0843),ABS(Dados_anuais!F7-0.0527),ABS(Dados_anuais!F8-0.0944),ABS(Dados_anuais!F9-0.1474),ABS(Dados_anuais!F10-0.1038),ABS(Dados_anuais!F11-0.0613),ABS(Dados_anuais!F12-0.0505),ABS(Dados_anuais!F13-0.0281),ABS(Dados_anuais!F14-0.0516),ABS(Dados_anuais!F15-0.0648),ABS(Dados_anuais!F16-0.0411),ABS(Dados_anuais!F17-0.0647),ABS(Dados_anuais!F18-0.0608),ABS(Dados_anuais!F19-0.062),ABS(Dados_anuais!F20-0.0556),ABS(Dados_anuais!F21-0.0623),ABS(Dados_anuais!F22-0.1128),ABS(Dados_anuais!F23-0.0658),ABS(Dados_anuais!F24-0.0207),ABS(Dados_anuais!F25-0.0343),ABS(Dados_anuais!F26-0.0448),ABS(Dados_anuais!F27-0.0545),ABS(Dados_anuais!F28-0.1016),ABS(Dados_anuais!F29-0.0593),ABS(Dados_anuais!F30-0.0371),ABS(Dados_anuais!F31-0.0477),ABS(Dados_anuais!F32-0.039))*100</f>
        <v>0.00479832020776755</v>
      </c>
      <c r="E9" s="11" t="str">
        <f aca="false">IF(B9&lt;=0.006,"OK","REVISAR")</f>
        <v>OK</v>
      </c>
      <c r="F9" s="7" t="s">
        <v>143</v>
      </c>
    </row>
    <row r="11" customFormat="false" ht="30" hidden="false" customHeight="true" outlineLevel="0" collapsed="false">
      <c r="A11" s="27" t="s">
        <v>144</v>
      </c>
      <c r="B11" s="27"/>
      <c r="C11" s="27"/>
      <c r="D11" s="27"/>
      <c r="E11" s="27"/>
      <c r="F11" s="27"/>
    </row>
    <row r="12" customFormat="false" ht="30" hidden="false" customHeight="true" outlineLevel="0" collapsed="false">
      <c r="A12" s="27" t="s">
        <v>145</v>
      </c>
      <c r="B12" s="27"/>
      <c r="C12" s="27"/>
      <c r="D12" s="27"/>
      <c r="E12" s="27"/>
      <c r="F12" s="27"/>
    </row>
    <row r="13" customFormat="false" ht="30" hidden="false" customHeight="true" outlineLevel="0" collapsed="false">
      <c r="A13" s="27" t="s">
        <v>146</v>
      </c>
      <c r="B13" s="27"/>
      <c r="C13" s="27"/>
      <c r="D13" s="27"/>
      <c r="E13" s="27"/>
      <c r="F13" s="27"/>
    </row>
    <row r="14" customFormat="false" ht="30" hidden="false" customHeight="true" outlineLevel="0" collapsed="false">
      <c r="A14" s="27" t="s">
        <v>147</v>
      </c>
      <c r="B14" s="27"/>
      <c r="C14" s="27"/>
      <c r="D14" s="27"/>
      <c r="E14" s="27"/>
      <c r="F14" s="27"/>
    </row>
    <row r="15" customFormat="false" ht="30" hidden="false" customHeight="true" outlineLevel="0" collapsed="false">
      <c r="A15" s="27" t="s">
        <v>148</v>
      </c>
      <c r="B15" s="27"/>
      <c r="C15" s="27"/>
      <c r="D15" s="27"/>
      <c r="E15" s="27"/>
      <c r="F15" s="27"/>
    </row>
    <row r="16" customFormat="false" ht="30" hidden="false" customHeight="true" outlineLevel="0" collapsed="false">
      <c r="A16" s="27" t="s">
        <v>149</v>
      </c>
      <c r="B16" s="27"/>
      <c r="C16" s="27"/>
      <c r="D16" s="27"/>
      <c r="E16" s="27"/>
      <c r="F16" s="27"/>
    </row>
    <row r="17" customFormat="false" ht="30" hidden="false" customHeight="true" outlineLevel="0" collapsed="false">
      <c r="A17" s="27" t="s">
        <v>150</v>
      </c>
      <c r="B17" s="27"/>
      <c r="C17" s="27"/>
      <c r="D17" s="27"/>
      <c r="E17" s="27"/>
      <c r="F17" s="27"/>
    </row>
    <row r="18" customFormat="false" ht="30" hidden="false" customHeight="true" outlineLevel="0" collapsed="false">
      <c r="A18" s="27" t="s">
        <v>151</v>
      </c>
      <c r="B18" s="27"/>
      <c r="C18" s="27"/>
      <c r="D18" s="27"/>
      <c r="E18" s="27"/>
      <c r="F18" s="27"/>
    </row>
    <row r="19" customFormat="false" ht="30" hidden="false" customHeight="true" outlineLevel="0" collapsed="false">
      <c r="A19" s="27" t="s">
        <v>152</v>
      </c>
      <c r="B19" s="27"/>
      <c r="C19" s="27"/>
      <c r="D19" s="27"/>
      <c r="E19" s="27"/>
      <c r="F19" s="27"/>
    </row>
  </sheetData>
  <mergeCells count="9"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2026-10-14T23:18:41Z</dcterms:created>
  <dc:creator>openpyxl</dc:creator>
  <dc:description/>
  <dc:language>en-US</dc:language>
  <cp:lastModifiedBy/>
  <dcterms:modified xsi:type="dcterms:W3CDTF">2026-10-14T23:18:42Z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